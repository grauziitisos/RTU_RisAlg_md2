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ristine\source\RTU\RisAlg\2MD\md2\"/>
    </mc:Choice>
  </mc:AlternateContent>
  <xr:revisionPtr revIDLastSave="0" documentId="13_ncr:1_{F4C5B7F3-6A04-4F93-A8E4-64F9C11F6D9C}" xr6:coauthVersionLast="47" xr6:coauthVersionMax="47" xr10:uidLastSave="{00000000-0000-0000-0000-000000000000}"/>
  <bookViews>
    <workbookView xWindow="20370" yWindow="-120" windowWidth="19440" windowHeight="15000" xr2:uid="{00000000-000D-0000-FFFF-FFFF00000000}"/>
  </bookViews>
  <sheets>
    <sheet name="Sheet1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6" i="1"/>
  <c r="B6" i="1"/>
  <c r="D6" i="1" l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F94" i="1" l="1"/>
  <c r="F82" i="1"/>
  <c r="F78" i="1"/>
  <c r="F70" i="1"/>
  <c r="F62" i="1"/>
  <c r="F50" i="1"/>
  <c r="F42" i="1"/>
  <c r="F34" i="1"/>
  <c r="F26" i="1"/>
  <c r="F22" i="1"/>
  <c r="F14" i="1"/>
  <c r="E6" i="1"/>
  <c r="F6" i="1"/>
  <c r="F89" i="1"/>
  <c r="F81" i="1"/>
  <c r="F73" i="1"/>
  <c r="F65" i="1"/>
  <c r="F57" i="1"/>
  <c r="F49" i="1"/>
  <c r="F45" i="1"/>
  <c r="F37" i="1"/>
  <c r="F29" i="1"/>
  <c r="F21" i="1"/>
  <c r="F9" i="1"/>
  <c r="F100" i="1"/>
  <c r="F96" i="1"/>
  <c r="F92" i="1"/>
  <c r="F88" i="1"/>
  <c r="F84" i="1"/>
  <c r="F80" i="1"/>
  <c r="F76" i="1"/>
  <c r="F72" i="1"/>
  <c r="F68" i="1"/>
  <c r="F64" i="1"/>
  <c r="F60" i="1"/>
  <c r="F56" i="1"/>
  <c r="F52" i="1"/>
  <c r="F48" i="1"/>
  <c r="F44" i="1"/>
  <c r="F40" i="1"/>
  <c r="F36" i="1"/>
  <c r="F32" i="1"/>
  <c r="F28" i="1"/>
  <c r="F24" i="1"/>
  <c r="F20" i="1"/>
  <c r="F16" i="1"/>
  <c r="F12" i="1"/>
  <c r="F8" i="1"/>
  <c r="F98" i="1"/>
  <c r="F90" i="1"/>
  <c r="F86" i="1"/>
  <c r="F74" i="1"/>
  <c r="F66" i="1"/>
  <c r="F58" i="1"/>
  <c r="F54" i="1"/>
  <c r="F46" i="1"/>
  <c r="F38" i="1"/>
  <c r="F30" i="1"/>
  <c r="F18" i="1"/>
  <c r="F10" i="1"/>
  <c r="F97" i="1"/>
  <c r="F93" i="1"/>
  <c r="F85" i="1"/>
  <c r="F77" i="1"/>
  <c r="F69" i="1"/>
  <c r="F61" i="1"/>
  <c r="F53" i="1"/>
  <c r="F41" i="1"/>
  <c r="F33" i="1"/>
  <c r="F25" i="1"/>
  <c r="F17" i="1"/>
  <c r="F13" i="1"/>
  <c r="F99" i="1"/>
  <c r="F95" i="1"/>
  <c r="F91" i="1"/>
  <c r="F87" i="1"/>
  <c r="F83" i="1"/>
  <c r="F79" i="1"/>
  <c r="F75" i="1"/>
  <c r="F71" i="1"/>
  <c r="F67" i="1"/>
  <c r="F63" i="1"/>
  <c r="F59" i="1"/>
  <c r="F55" i="1"/>
  <c r="F51" i="1"/>
  <c r="F47" i="1"/>
  <c r="F43" i="1"/>
  <c r="F39" i="1"/>
  <c r="F35" i="1"/>
  <c r="F31" i="1"/>
  <c r="F27" i="1"/>
  <c r="F23" i="1"/>
  <c r="F19" i="1"/>
  <c r="F15" i="1"/>
  <c r="F11" i="1"/>
  <c r="F7" i="1"/>
  <c r="E9" i="1" l="1"/>
  <c r="E13" i="1"/>
  <c r="E17" i="1"/>
  <c r="E21" i="1"/>
  <c r="E25" i="1"/>
  <c r="E29" i="1"/>
  <c r="E33" i="1"/>
  <c r="E37" i="1"/>
  <c r="E41" i="1"/>
  <c r="E45" i="1"/>
  <c r="E49" i="1"/>
  <c r="E53" i="1"/>
  <c r="E57" i="1"/>
  <c r="E61" i="1"/>
  <c r="E65" i="1"/>
  <c r="E69" i="1"/>
  <c r="E73" i="1"/>
  <c r="E77" i="1"/>
  <c r="E81" i="1"/>
  <c r="E85" i="1"/>
  <c r="E89" i="1"/>
  <c r="E93" i="1"/>
  <c r="E97" i="1"/>
  <c r="E8" i="1"/>
  <c r="E7" i="1"/>
  <c r="E10" i="1"/>
  <c r="E14" i="1"/>
  <c r="E18" i="1"/>
  <c r="E22" i="1"/>
  <c r="E26" i="1"/>
  <c r="E30" i="1"/>
  <c r="E34" i="1"/>
  <c r="E38" i="1"/>
  <c r="E42" i="1"/>
  <c r="E46" i="1"/>
  <c r="E50" i="1"/>
  <c r="E54" i="1"/>
  <c r="E58" i="1"/>
  <c r="E62" i="1"/>
  <c r="E66" i="1"/>
  <c r="E70" i="1"/>
  <c r="E74" i="1"/>
  <c r="E78" i="1"/>
  <c r="E82" i="1"/>
  <c r="E86" i="1"/>
  <c r="E90" i="1"/>
  <c r="E98" i="1"/>
  <c r="E11" i="1"/>
  <c r="E15" i="1"/>
  <c r="E19" i="1"/>
  <c r="E23" i="1"/>
  <c r="E27" i="1"/>
  <c r="E31" i="1"/>
  <c r="E35" i="1"/>
  <c r="E39" i="1"/>
  <c r="E43" i="1"/>
  <c r="E47" i="1"/>
  <c r="E51" i="1"/>
  <c r="E55" i="1"/>
  <c r="E59" i="1"/>
  <c r="E63" i="1"/>
  <c r="E67" i="1"/>
  <c r="E71" i="1"/>
  <c r="E75" i="1"/>
  <c r="E79" i="1"/>
  <c r="E83" i="1"/>
  <c r="E87" i="1"/>
  <c r="E91" i="1"/>
  <c r="E95" i="1"/>
  <c r="E12" i="1"/>
  <c r="E16" i="1"/>
  <c r="E20" i="1"/>
  <c r="E24" i="1"/>
  <c r="E28" i="1"/>
  <c r="E32" i="1"/>
  <c r="E36" i="1"/>
  <c r="E40" i="1"/>
  <c r="E44" i="1"/>
  <c r="E48" i="1"/>
  <c r="E52" i="1"/>
  <c r="E56" i="1"/>
  <c r="E60" i="1"/>
  <c r="E64" i="1"/>
  <c r="E68" i="1"/>
  <c r="E72" i="1"/>
  <c r="E76" i="1"/>
  <c r="E80" i="1"/>
  <c r="E84" i="1"/>
  <c r="E88" i="1"/>
  <c r="E92" i="1"/>
  <c r="E96" i="1"/>
  <c r="E100" i="1"/>
  <c r="E94" i="1"/>
  <c r="E99" i="1"/>
  <c r="O2" i="1"/>
  <c r="P2" i="1" s="1"/>
  <c r="E1" i="1" l="1"/>
  <c r="B3" i="1" s="1"/>
  <c r="O1" i="1"/>
  <c r="P1" i="1" s="1"/>
  <c r="P3" i="1" s="1"/>
  <c r="G3" i="1"/>
  <c r="I3" i="1"/>
  <c r="H3" i="1"/>
</calcChain>
</file>

<file path=xl/sharedStrings.xml><?xml version="1.0" encoding="utf-8"?>
<sst xmlns="http://schemas.openxmlformats.org/spreadsheetml/2006/main" count="18" uniqueCount="15">
  <si>
    <t>result=</t>
  </si>
  <si>
    <t>t</t>
  </si>
  <si>
    <t>x</t>
  </si>
  <si>
    <t>y</t>
  </si>
  <si>
    <t>target</t>
  </si>
  <si>
    <t>hit</t>
  </si>
  <si>
    <t>hit=</t>
  </si>
  <si>
    <t xml:space="preserve">t </t>
  </si>
  <si>
    <t>hit target or ground at:</t>
  </si>
  <si>
    <t>hit ground</t>
  </si>
  <si>
    <t>hit at:</t>
  </si>
  <si>
    <t>hit target</t>
  </si>
  <si>
    <t>v0=</t>
  </si>
  <si>
    <t>g=</t>
  </si>
  <si>
    <t>a=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</si>
</sst>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18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0" fillId="3" borderId="1" xfId="0" applyFill="1" applyBorder="1"/>
    <xf numFmtId="0" fontId="0" fillId="0" borderId="2" xfId="0" applyBorder="1"/>
    <xf numFmtId="0" fontId="0" fillId="3" borderId="2" xfId="0" applyFill="1" applyBorder="1"/>
    <xf numFmtId="0" fontId="0" fillId="2" borderId="1" xfId="0" applyFill="1" applyBorder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Sheet1!$C$5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cat>
            <c:numRef>
              <c:f>Sheet1!$B$6:$B$100</c:f>
              <c:numCache>
                <c:formatCode>General</c:formatCode>
                <c:ptCount val="95"/>
                <c:pt idx="0">
                  <c:v>-0.59201136214753314</c:v>
                </c:pt>
                <c:pt idx="1">
                  <c:v>-1.1840227242950663</c:v>
                </c:pt>
                <c:pt idx="2">
                  <c:v>-1.776034086442599</c:v>
                </c:pt>
                <c:pt idx="3">
                  <c:v>-2.3680454485901326</c:v>
                </c:pt>
                <c:pt idx="4">
                  <c:v>-2.9600568107376652</c:v>
                </c:pt>
                <c:pt idx="5">
                  <c:v>-3.5520681728851979</c:v>
                </c:pt>
                <c:pt idx="6">
                  <c:v>-4.1440795350327306</c:v>
                </c:pt>
                <c:pt idx="7">
                  <c:v>-4.7360908971802651</c:v>
                </c:pt>
                <c:pt idx="8">
                  <c:v>-5.3281022593277978</c:v>
                </c:pt>
                <c:pt idx="9">
                  <c:v>-5.9201136214753305</c:v>
                </c:pt>
                <c:pt idx="10">
                  <c:v>-6.5121249836228641</c:v>
                </c:pt>
                <c:pt idx="11">
                  <c:v>-7.1041363457703959</c:v>
                </c:pt>
                <c:pt idx="12">
                  <c:v>-7.6961477079179303</c:v>
                </c:pt>
                <c:pt idx="13">
                  <c:v>-8.2881590700654613</c:v>
                </c:pt>
                <c:pt idx="14">
                  <c:v>-8.8801704322129957</c:v>
                </c:pt>
                <c:pt idx="15">
                  <c:v>-9.4721817943605302</c:v>
                </c:pt>
                <c:pt idx="16">
                  <c:v>-10.064193156508061</c:v>
                </c:pt>
                <c:pt idx="17">
                  <c:v>-10.656204518655596</c:v>
                </c:pt>
                <c:pt idx="18">
                  <c:v>-11.248215880803127</c:v>
                </c:pt>
                <c:pt idx="19">
                  <c:v>-11.840227242950661</c:v>
                </c:pt>
                <c:pt idx="20">
                  <c:v>-12.432238605098195</c:v>
                </c:pt>
                <c:pt idx="21">
                  <c:v>-13.024249967245728</c:v>
                </c:pt>
                <c:pt idx="22">
                  <c:v>-13.616261329393259</c:v>
                </c:pt>
                <c:pt idx="23">
                  <c:v>-14.208272691540792</c:v>
                </c:pt>
                <c:pt idx="24">
                  <c:v>-14.800284053688326</c:v>
                </c:pt>
                <c:pt idx="25">
                  <c:v>-15.392295415835861</c:v>
                </c:pt>
                <c:pt idx="26">
                  <c:v>-15.984306777983395</c:v>
                </c:pt>
                <c:pt idx="27">
                  <c:v>-16.576318140130923</c:v>
                </c:pt>
                <c:pt idx="28">
                  <c:v>-17.168329502278457</c:v>
                </c:pt>
                <c:pt idx="29">
                  <c:v>-17.760340864425991</c:v>
                </c:pt>
                <c:pt idx="30">
                  <c:v>-18.352352226573526</c:v>
                </c:pt>
                <c:pt idx="31">
                  <c:v>-18.94436358872106</c:v>
                </c:pt>
                <c:pt idx="32">
                  <c:v>-19.536374950868588</c:v>
                </c:pt>
                <c:pt idx="33">
                  <c:v>-20.128386313016122</c:v>
                </c:pt>
                <c:pt idx="34">
                  <c:v>-20.720397675163657</c:v>
                </c:pt>
                <c:pt idx="35">
                  <c:v>-21.312409037311191</c:v>
                </c:pt>
                <c:pt idx="36">
                  <c:v>-21.904420399458726</c:v>
                </c:pt>
                <c:pt idx="37">
                  <c:v>-22.496431761606253</c:v>
                </c:pt>
                <c:pt idx="38">
                  <c:v>-23.088443123753787</c:v>
                </c:pt>
                <c:pt idx="39">
                  <c:v>-23.680454485901322</c:v>
                </c:pt>
                <c:pt idx="40">
                  <c:v>-24.272465848048853</c:v>
                </c:pt>
                <c:pt idx="41">
                  <c:v>-24.864477210196391</c:v>
                </c:pt>
                <c:pt idx="42">
                  <c:v>-25.456488572343918</c:v>
                </c:pt>
                <c:pt idx="43">
                  <c:v>-26.048499934491456</c:v>
                </c:pt>
                <c:pt idx="44">
                  <c:v>-26.640511296638987</c:v>
                </c:pt>
                <c:pt idx="45">
                  <c:v>-27.232522658786518</c:v>
                </c:pt>
                <c:pt idx="46">
                  <c:v>-27.824534020934056</c:v>
                </c:pt>
                <c:pt idx="47">
                  <c:v>-28.416545383081584</c:v>
                </c:pt>
                <c:pt idx="48">
                  <c:v>-29.008556745229122</c:v>
                </c:pt>
                <c:pt idx="49">
                  <c:v>-29.600568107376652</c:v>
                </c:pt>
                <c:pt idx="50">
                  <c:v>-30.192579469524183</c:v>
                </c:pt>
                <c:pt idx="51">
                  <c:v>-30.784590831671721</c:v>
                </c:pt>
                <c:pt idx="52">
                  <c:v>-31.376602193819249</c:v>
                </c:pt>
                <c:pt idx="53">
                  <c:v>-31.96861355596679</c:v>
                </c:pt>
                <c:pt idx="54">
                  <c:v>-32.560624918114314</c:v>
                </c:pt>
                <c:pt idx="55">
                  <c:v>-33.152636280261845</c:v>
                </c:pt>
                <c:pt idx="56">
                  <c:v>-33.744647642409383</c:v>
                </c:pt>
                <c:pt idx="57">
                  <c:v>-34.336659004556914</c:v>
                </c:pt>
                <c:pt idx="58">
                  <c:v>-34.928670366704452</c:v>
                </c:pt>
                <c:pt idx="59">
                  <c:v>-35.520681728851983</c:v>
                </c:pt>
                <c:pt idx="60">
                  <c:v>-36.112693090999514</c:v>
                </c:pt>
                <c:pt idx="61">
                  <c:v>-36.704704453147052</c:v>
                </c:pt>
                <c:pt idx="62">
                  <c:v>-37.296715815294583</c:v>
                </c:pt>
                <c:pt idx="63">
                  <c:v>-37.888727177442121</c:v>
                </c:pt>
                <c:pt idx="64">
                  <c:v>-38.480738539589652</c:v>
                </c:pt>
                <c:pt idx="65">
                  <c:v>-39.072749901737176</c:v>
                </c:pt>
                <c:pt idx="66">
                  <c:v>-39.664761263884714</c:v>
                </c:pt>
                <c:pt idx="67">
                  <c:v>-40.256772626032244</c:v>
                </c:pt>
                <c:pt idx="68">
                  <c:v>-40.848783988179783</c:v>
                </c:pt>
                <c:pt idx="69">
                  <c:v>-41.440795350327313</c:v>
                </c:pt>
                <c:pt idx="70">
                  <c:v>-42.032806712474844</c:v>
                </c:pt>
                <c:pt idx="71">
                  <c:v>-42.624818074622382</c:v>
                </c:pt>
                <c:pt idx="72">
                  <c:v>-43.216829436769913</c:v>
                </c:pt>
                <c:pt idx="73">
                  <c:v>-43.808840798917451</c:v>
                </c:pt>
                <c:pt idx="74">
                  <c:v>-44.400852161064975</c:v>
                </c:pt>
                <c:pt idx="75">
                  <c:v>-44.992863523212506</c:v>
                </c:pt>
                <c:pt idx="76">
                  <c:v>-45.584874885360044</c:v>
                </c:pt>
                <c:pt idx="77">
                  <c:v>-46.176886247507575</c:v>
                </c:pt>
                <c:pt idx="78">
                  <c:v>-46.768897609655113</c:v>
                </c:pt>
                <c:pt idx="79">
                  <c:v>-47.360908971802644</c:v>
                </c:pt>
                <c:pt idx="80">
                  <c:v>-47.952920333950175</c:v>
                </c:pt>
                <c:pt idx="81">
                  <c:v>-48.544931696097706</c:v>
                </c:pt>
                <c:pt idx="82">
                  <c:v>-49.136943058245244</c:v>
                </c:pt>
                <c:pt idx="83">
                  <c:v>-49.728954420392782</c:v>
                </c:pt>
                <c:pt idx="84">
                  <c:v>-50.320965782540313</c:v>
                </c:pt>
                <c:pt idx="85">
                  <c:v>-50.912977144687837</c:v>
                </c:pt>
                <c:pt idx="86">
                  <c:v>-51.504988506835375</c:v>
                </c:pt>
                <c:pt idx="87">
                  <c:v>-52.096999868982913</c:v>
                </c:pt>
                <c:pt idx="88">
                  <c:v>-52.689011231130443</c:v>
                </c:pt>
                <c:pt idx="89">
                  <c:v>-53.281022593277974</c:v>
                </c:pt>
                <c:pt idx="90">
                  <c:v>-53.873033955425505</c:v>
                </c:pt>
                <c:pt idx="91">
                  <c:v>-54.465045317573036</c:v>
                </c:pt>
                <c:pt idx="92">
                  <c:v>-55.057056679720574</c:v>
                </c:pt>
                <c:pt idx="93">
                  <c:v>-55.649068041868112</c:v>
                </c:pt>
                <c:pt idx="94">
                  <c:v>-56.241079404015636</c:v>
                </c:pt>
              </c:numCache>
            </c:numRef>
          </c:cat>
          <c:val>
            <c:numRef>
              <c:f>Sheet1!$C$6:$C$100</c:f>
              <c:numCache>
                <c:formatCode>General</c:formatCode>
                <c:ptCount val="95"/>
                <c:pt idx="0">
                  <c:v>-0.10984603902284165</c:v>
                </c:pt>
                <c:pt idx="1">
                  <c:v>-0.24421707804568332</c:v>
                </c:pt>
                <c:pt idx="2">
                  <c:v>-0.40311311706852493</c:v>
                </c:pt>
                <c:pt idx="3">
                  <c:v>-0.58653415609136661</c:v>
                </c:pt>
                <c:pt idx="4">
                  <c:v>-0.7944801951142082</c:v>
                </c:pt>
                <c:pt idx="5">
                  <c:v>-1.0269512341370497</c:v>
                </c:pt>
                <c:pt idx="6">
                  <c:v>-1.2839472731598913</c:v>
                </c:pt>
                <c:pt idx="7">
                  <c:v>-1.5654683121827335</c:v>
                </c:pt>
                <c:pt idx="8">
                  <c:v>-1.8715143512055747</c:v>
                </c:pt>
                <c:pt idx="9">
                  <c:v>-2.2020853902284165</c:v>
                </c:pt>
                <c:pt idx="10">
                  <c:v>-2.5571814292512585</c:v>
                </c:pt>
                <c:pt idx="11">
                  <c:v>-2.9368024682740996</c:v>
                </c:pt>
                <c:pt idx="12">
                  <c:v>-3.3409485072969423</c:v>
                </c:pt>
                <c:pt idx="13">
                  <c:v>-3.7696195463197828</c:v>
                </c:pt>
                <c:pt idx="14">
                  <c:v>-4.2228155853426248</c:v>
                </c:pt>
                <c:pt idx="15">
                  <c:v>-4.7005366243654674</c:v>
                </c:pt>
                <c:pt idx="16">
                  <c:v>-5.2027826633883079</c:v>
                </c:pt>
                <c:pt idx="17">
                  <c:v>-5.7295537024111498</c:v>
                </c:pt>
                <c:pt idx="18">
                  <c:v>-6.2808497414339906</c:v>
                </c:pt>
                <c:pt idx="19">
                  <c:v>-6.8566707804568328</c:v>
                </c:pt>
                <c:pt idx="20">
                  <c:v>-7.4570168194796764</c:v>
                </c:pt>
                <c:pt idx="21">
                  <c:v>-8.0818878585025171</c:v>
                </c:pt>
                <c:pt idx="22">
                  <c:v>-8.7312838975253566</c:v>
                </c:pt>
                <c:pt idx="23">
                  <c:v>-9.4052049365481984</c:v>
                </c:pt>
                <c:pt idx="24">
                  <c:v>-10.103650975571043</c:v>
                </c:pt>
                <c:pt idx="25">
                  <c:v>-10.826622014593886</c:v>
                </c:pt>
                <c:pt idx="26">
                  <c:v>-11.574118053616726</c:v>
                </c:pt>
                <c:pt idx="27">
                  <c:v>-12.346139092639564</c:v>
                </c:pt>
                <c:pt idx="28">
                  <c:v>-13.142685131662407</c:v>
                </c:pt>
                <c:pt idx="29">
                  <c:v>-13.963756170685247</c:v>
                </c:pt>
                <c:pt idx="30">
                  <c:v>-14.809352209708091</c:v>
                </c:pt>
                <c:pt idx="31">
                  <c:v>-15.679473248730936</c:v>
                </c:pt>
                <c:pt idx="32">
                  <c:v>-16.574119287753771</c:v>
                </c:pt>
                <c:pt idx="33">
                  <c:v>-17.493290326776616</c:v>
                </c:pt>
                <c:pt idx="34">
                  <c:v>-18.436986365799456</c:v>
                </c:pt>
                <c:pt idx="35">
                  <c:v>-19.405207404822299</c:v>
                </c:pt>
                <c:pt idx="36">
                  <c:v>-20.397953443845147</c:v>
                </c:pt>
                <c:pt idx="37">
                  <c:v>-21.415224482867981</c:v>
                </c:pt>
                <c:pt idx="38">
                  <c:v>-22.457020521890826</c:v>
                </c:pt>
                <c:pt idx="39">
                  <c:v>-23.523341560913668</c:v>
                </c:pt>
                <c:pt idx="40">
                  <c:v>-24.614187599936503</c:v>
                </c:pt>
                <c:pt idx="41">
                  <c:v>-25.729558638959354</c:v>
                </c:pt>
                <c:pt idx="42">
                  <c:v>-26.869454677982191</c:v>
                </c:pt>
                <c:pt idx="43">
                  <c:v>-28.033875717005039</c:v>
                </c:pt>
                <c:pt idx="44">
                  <c:v>-29.222821756027876</c:v>
                </c:pt>
                <c:pt idx="45">
                  <c:v>-30.436292795050711</c:v>
                </c:pt>
                <c:pt idx="46">
                  <c:v>-31.674288834073561</c:v>
                </c:pt>
                <c:pt idx="47">
                  <c:v>-32.936809873096401</c:v>
                </c:pt>
                <c:pt idx="48">
                  <c:v>-34.223855912119248</c:v>
                </c:pt>
                <c:pt idx="49">
                  <c:v>-35.535426951142085</c:v>
                </c:pt>
                <c:pt idx="50">
                  <c:v>-36.87152299016492</c:v>
                </c:pt>
                <c:pt idx="51">
                  <c:v>-38.232144029187772</c:v>
                </c:pt>
                <c:pt idx="52">
                  <c:v>-39.617290068210608</c:v>
                </c:pt>
                <c:pt idx="53">
                  <c:v>-41.026961107233454</c:v>
                </c:pt>
                <c:pt idx="54">
                  <c:v>-42.461157146256298</c:v>
                </c:pt>
                <c:pt idx="55">
                  <c:v>-43.919878185279131</c:v>
                </c:pt>
                <c:pt idx="56">
                  <c:v>-45.403124224301976</c:v>
                </c:pt>
                <c:pt idx="57">
                  <c:v>-46.910895263324818</c:v>
                </c:pt>
                <c:pt idx="58">
                  <c:v>-48.443191302347657</c:v>
                </c:pt>
                <c:pt idx="59">
                  <c:v>-50.000012341370493</c:v>
                </c:pt>
                <c:pt idx="60">
                  <c:v>-51.58135838039334</c:v>
                </c:pt>
                <c:pt idx="61">
                  <c:v>-53.187229419416184</c:v>
                </c:pt>
                <c:pt idx="62">
                  <c:v>-54.817625458439025</c:v>
                </c:pt>
                <c:pt idx="63">
                  <c:v>-56.472546497461877</c:v>
                </c:pt>
                <c:pt idx="64">
                  <c:v>-58.151992536484713</c:v>
                </c:pt>
                <c:pt idx="65">
                  <c:v>-59.855963575507538</c:v>
                </c:pt>
                <c:pt idx="66">
                  <c:v>-61.584459614530395</c:v>
                </c:pt>
                <c:pt idx="67">
                  <c:v>-63.337480653553229</c:v>
                </c:pt>
                <c:pt idx="68">
                  <c:v>-65.11502669257608</c:v>
                </c:pt>
                <c:pt idx="69">
                  <c:v>-66.917097731598915</c:v>
                </c:pt>
                <c:pt idx="70">
                  <c:v>-68.743693770621746</c:v>
                </c:pt>
                <c:pt idx="71">
                  <c:v>-70.594814809644603</c:v>
                </c:pt>
                <c:pt idx="72">
                  <c:v>-72.470460848667443</c:v>
                </c:pt>
                <c:pt idx="73">
                  <c:v>-74.370631887690294</c:v>
                </c:pt>
                <c:pt idx="74">
                  <c:v>-76.295327926713128</c:v>
                </c:pt>
                <c:pt idx="75">
                  <c:v>-78.244548965735959</c:v>
                </c:pt>
                <c:pt idx="76">
                  <c:v>-80.218295004758815</c:v>
                </c:pt>
                <c:pt idx="77">
                  <c:v>-82.216566043781654</c:v>
                </c:pt>
                <c:pt idx="78">
                  <c:v>-84.23936208280449</c:v>
                </c:pt>
                <c:pt idx="79">
                  <c:v>-86.286683121827338</c:v>
                </c:pt>
                <c:pt idx="80">
                  <c:v>-88.358529160850168</c:v>
                </c:pt>
                <c:pt idx="81">
                  <c:v>-90.454900199873009</c:v>
                </c:pt>
                <c:pt idx="82">
                  <c:v>-92.575796238895876</c:v>
                </c:pt>
                <c:pt idx="83">
                  <c:v>-94.721217277918726</c:v>
                </c:pt>
                <c:pt idx="84">
                  <c:v>-96.891163316941544</c:v>
                </c:pt>
                <c:pt idx="85">
                  <c:v>-99.085634355964373</c:v>
                </c:pt>
                <c:pt idx="86">
                  <c:v>-101.30463039498721</c:v>
                </c:pt>
                <c:pt idx="87">
                  <c:v>-103.54815143401008</c:v>
                </c:pt>
                <c:pt idx="88">
                  <c:v>-105.81619747303293</c:v>
                </c:pt>
                <c:pt idx="89">
                  <c:v>-108.10876851205575</c:v>
                </c:pt>
                <c:pt idx="90">
                  <c:v>-110.42586455107859</c:v>
                </c:pt>
                <c:pt idx="91">
                  <c:v>-112.76748559010142</c:v>
                </c:pt>
                <c:pt idx="92">
                  <c:v>-115.1336316291243</c:v>
                </c:pt>
                <c:pt idx="93">
                  <c:v>-117.52430266814713</c:v>
                </c:pt>
                <c:pt idx="94">
                  <c:v>-119.93949870716996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E2-4971-8989-E2E2F1218486}"/>
            </c:ext>
          </c:extLst>
        </c:ser>
        <c:ser>
          <c:idx val="1"/>
          <c:order val="1"/>
          <c:tx>
            <c:strRef>
              <c:f>Sheet1!$D$5</c:f>
              <c:strCache>
                <c:ptCount val="1"/>
                <c:pt idx="0">
                  <c:v>target</c:v>
                </c:pt>
              </c:strCache>
            </c:strRef>
          </c:tx>
          <c:marker>
            <c:symbol val="none"/>
          </c:marker>
          <c:cat>
            <c:numRef>
              <c:f>Sheet1!$B$6:$B$100</c:f>
              <c:numCache>
                <c:formatCode>General</c:formatCode>
                <c:ptCount val="95"/>
                <c:pt idx="0">
                  <c:v>-0.59201136214753314</c:v>
                </c:pt>
                <c:pt idx="1">
                  <c:v>-1.1840227242950663</c:v>
                </c:pt>
                <c:pt idx="2">
                  <c:v>-1.776034086442599</c:v>
                </c:pt>
                <c:pt idx="3">
                  <c:v>-2.3680454485901326</c:v>
                </c:pt>
                <c:pt idx="4">
                  <c:v>-2.9600568107376652</c:v>
                </c:pt>
                <c:pt idx="5">
                  <c:v>-3.5520681728851979</c:v>
                </c:pt>
                <c:pt idx="6">
                  <c:v>-4.1440795350327306</c:v>
                </c:pt>
                <c:pt idx="7">
                  <c:v>-4.7360908971802651</c:v>
                </c:pt>
                <c:pt idx="8">
                  <c:v>-5.3281022593277978</c:v>
                </c:pt>
                <c:pt idx="9">
                  <c:v>-5.9201136214753305</c:v>
                </c:pt>
                <c:pt idx="10">
                  <c:v>-6.5121249836228641</c:v>
                </c:pt>
                <c:pt idx="11">
                  <c:v>-7.1041363457703959</c:v>
                </c:pt>
                <c:pt idx="12">
                  <c:v>-7.6961477079179303</c:v>
                </c:pt>
                <c:pt idx="13">
                  <c:v>-8.2881590700654613</c:v>
                </c:pt>
                <c:pt idx="14">
                  <c:v>-8.8801704322129957</c:v>
                </c:pt>
                <c:pt idx="15">
                  <c:v>-9.4721817943605302</c:v>
                </c:pt>
                <c:pt idx="16">
                  <c:v>-10.064193156508061</c:v>
                </c:pt>
                <c:pt idx="17">
                  <c:v>-10.656204518655596</c:v>
                </c:pt>
                <c:pt idx="18">
                  <c:v>-11.248215880803127</c:v>
                </c:pt>
                <c:pt idx="19">
                  <c:v>-11.840227242950661</c:v>
                </c:pt>
                <c:pt idx="20">
                  <c:v>-12.432238605098195</c:v>
                </c:pt>
                <c:pt idx="21">
                  <c:v>-13.024249967245728</c:v>
                </c:pt>
                <c:pt idx="22">
                  <c:v>-13.616261329393259</c:v>
                </c:pt>
                <c:pt idx="23">
                  <c:v>-14.208272691540792</c:v>
                </c:pt>
                <c:pt idx="24">
                  <c:v>-14.800284053688326</c:v>
                </c:pt>
                <c:pt idx="25">
                  <c:v>-15.392295415835861</c:v>
                </c:pt>
                <c:pt idx="26">
                  <c:v>-15.984306777983395</c:v>
                </c:pt>
                <c:pt idx="27">
                  <c:v>-16.576318140130923</c:v>
                </c:pt>
                <c:pt idx="28">
                  <c:v>-17.168329502278457</c:v>
                </c:pt>
                <c:pt idx="29">
                  <c:v>-17.760340864425991</c:v>
                </c:pt>
                <c:pt idx="30">
                  <c:v>-18.352352226573526</c:v>
                </c:pt>
                <c:pt idx="31">
                  <c:v>-18.94436358872106</c:v>
                </c:pt>
                <c:pt idx="32">
                  <c:v>-19.536374950868588</c:v>
                </c:pt>
                <c:pt idx="33">
                  <c:v>-20.128386313016122</c:v>
                </c:pt>
                <c:pt idx="34">
                  <c:v>-20.720397675163657</c:v>
                </c:pt>
                <c:pt idx="35">
                  <c:v>-21.312409037311191</c:v>
                </c:pt>
                <c:pt idx="36">
                  <c:v>-21.904420399458726</c:v>
                </c:pt>
                <c:pt idx="37">
                  <c:v>-22.496431761606253</c:v>
                </c:pt>
                <c:pt idx="38">
                  <c:v>-23.088443123753787</c:v>
                </c:pt>
                <c:pt idx="39">
                  <c:v>-23.680454485901322</c:v>
                </c:pt>
                <c:pt idx="40">
                  <c:v>-24.272465848048853</c:v>
                </c:pt>
                <c:pt idx="41">
                  <c:v>-24.864477210196391</c:v>
                </c:pt>
                <c:pt idx="42">
                  <c:v>-25.456488572343918</c:v>
                </c:pt>
                <c:pt idx="43">
                  <c:v>-26.048499934491456</c:v>
                </c:pt>
                <c:pt idx="44">
                  <c:v>-26.640511296638987</c:v>
                </c:pt>
                <c:pt idx="45">
                  <c:v>-27.232522658786518</c:v>
                </c:pt>
                <c:pt idx="46">
                  <c:v>-27.824534020934056</c:v>
                </c:pt>
                <c:pt idx="47">
                  <c:v>-28.416545383081584</c:v>
                </c:pt>
                <c:pt idx="48">
                  <c:v>-29.008556745229122</c:v>
                </c:pt>
                <c:pt idx="49">
                  <c:v>-29.600568107376652</c:v>
                </c:pt>
                <c:pt idx="50">
                  <c:v>-30.192579469524183</c:v>
                </c:pt>
                <c:pt idx="51">
                  <c:v>-30.784590831671721</c:v>
                </c:pt>
                <c:pt idx="52">
                  <c:v>-31.376602193819249</c:v>
                </c:pt>
                <c:pt idx="53">
                  <c:v>-31.96861355596679</c:v>
                </c:pt>
                <c:pt idx="54">
                  <c:v>-32.560624918114314</c:v>
                </c:pt>
                <c:pt idx="55">
                  <c:v>-33.152636280261845</c:v>
                </c:pt>
                <c:pt idx="56">
                  <c:v>-33.744647642409383</c:v>
                </c:pt>
                <c:pt idx="57">
                  <c:v>-34.336659004556914</c:v>
                </c:pt>
                <c:pt idx="58">
                  <c:v>-34.928670366704452</c:v>
                </c:pt>
                <c:pt idx="59">
                  <c:v>-35.520681728851983</c:v>
                </c:pt>
                <c:pt idx="60">
                  <c:v>-36.112693090999514</c:v>
                </c:pt>
                <c:pt idx="61">
                  <c:v>-36.704704453147052</c:v>
                </c:pt>
                <c:pt idx="62">
                  <c:v>-37.296715815294583</c:v>
                </c:pt>
                <c:pt idx="63">
                  <c:v>-37.888727177442121</c:v>
                </c:pt>
                <c:pt idx="64">
                  <c:v>-38.480738539589652</c:v>
                </c:pt>
                <c:pt idx="65">
                  <c:v>-39.072749901737176</c:v>
                </c:pt>
                <c:pt idx="66">
                  <c:v>-39.664761263884714</c:v>
                </c:pt>
                <c:pt idx="67">
                  <c:v>-40.256772626032244</c:v>
                </c:pt>
                <c:pt idx="68">
                  <c:v>-40.848783988179783</c:v>
                </c:pt>
                <c:pt idx="69">
                  <c:v>-41.440795350327313</c:v>
                </c:pt>
                <c:pt idx="70">
                  <c:v>-42.032806712474844</c:v>
                </c:pt>
                <c:pt idx="71">
                  <c:v>-42.624818074622382</c:v>
                </c:pt>
                <c:pt idx="72">
                  <c:v>-43.216829436769913</c:v>
                </c:pt>
                <c:pt idx="73">
                  <c:v>-43.808840798917451</c:v>
                </c:pt>
                <c:pt idx="74">
                  <c:v>-44.400852161064975</c:v>
                </c:pt>
                <c:pt idx="75">
                  <c:v>-44.992863523212506</c:v>
                </c:pt>
                <c:pt idx="76">
                  <c:v>-45.584874885360044</c:v>
                </c:pt>
                <c:pt idx="77">
                  <c:v>-46.176886247507575</c:v>
                </c:pt>
                <c:pt idx="78">
                  <c:v>-46.768897609655113</c:v>
                </c:pt>
                <c:pt idx="79">
                  <c:v>-47.360908971802644</c:v>
                </c:pt>
                <c:pt idx="80">
                  <c:v>-47.952920333950175</c:v>
                </c:pt>
                <c:pt idx="81">
                  <c:v>-48.544931696097706</c:v>
                </c:pt>
                <c:pt idx="82">
                  <c:v>-49.136943058245244</c:v>
                </c:pt>
                <c:pt idx="83">
                  <c:v>-49.728954420392782</c:v>
                </c:pt>
                <c:pt idx="84">
                  <c:v>-50.320965782540313</c:v>
                </c:pt>
                <c:pt idx="85">
                  <c:v>-50.912977144687837</c:v>
                </c:pt>
                <c:pt idx="86">
                  <c:v>-51.504988506835375</c:v>
                </c:pt>
                <c:pt idx="87">
                  <c:v>-52.096999868982913</c:v>
                </c:pt>
                <c:pt idx="88">
                  <c:v>-52.689011231130443</c:v>
                </c:pt>
                <c:pt idx="89">
                  <c:v>-53.281022593277974</c:v>
                </c:pt>
                <c:pt idx="90">
                  <c:v>-53.873033955425505</c:v>
                </c:pt>
                <c:pt idx="91">
                  <c:v>-54.465045317573036</c:v>
                </c:pt>
                <c:pt idx="92">
                  <c:v>-55.057056679720574</c:v>
                </c:pt>
                <c:pt idx="93">
                  <c:v>-55.649068041868112</c:v>
                </c:pt>
                <c:pt idx="94">
                  <c:v>-56.241079404015636</c:v>
                </c:pt>
              </c:numCache>
            </c:numRef>
          </c:cat>
          <c:val>
            <c:numRef>
              <c:f>Sheet1!$D$6:$D$100</c:f>
              <c:numCache>
                <c:formatCode>General</c:formatCode>
                <c:ptCount val="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E2-4971-8989-E2E2F1218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844224"/>
        <c:axId val="49847680"/>
      </c:lineChart>
      <c:catAx>
        <c:axId val="49844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9847680"/>
        <c:crosses val="autoZero"/>
        <c:auto val="1"/>
        <c:lblAlgn val="ctr"/>
        <c:lblOffset val="100"/>
        <c:noMultiLvlLbl val="0"/>
      </c:catAx>
      <c:valAx>
        <c:axId val="49847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844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8</xdr:row>
      <xdr:rowOff>161925</xdr:rowOff>
    </xdr:from>
    <xdr:to>
      <xdr:col>15</xdr:col>
      <xdr:colOff>323850</xdr:colOff>
      <xdr:row>27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29</xdr:row>
          <xdr:rowOff>0</xdr:rowOff>
        </xdr:from>
        <xdr:to>
          <xdr:col>11</xdr:col>
          <xdr:colOff>247650</xdr:colOff>
          <xdr:row>33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00"/>
  <sheetViews>
    <sheetView tabSelected="1" workbookViewId="0">
      <selection activeCell="C5" sqref="C5"/>
    </sheetView>
  </sheetViews>
  <sheetFormatPr defaultRowHeight="15" x14ac:dyDescent="0.25"/>
  <cols>
    <col min="14" max="14" width="15.28515625" customWidth="1"/>
  </cols>
  <sheetData>
    <row r="1" spans="1:16" x14ac:dyDescent="0.25">
      <c r="A1" s="1" t="s">
        <v>12</v>
      </c>
      <c r="B1" s="2">
        <v>12</v>
      </c>
      <c r="D1" t="s">
        <v>6</v>
      </c>
      <c r="E1">
        <f>MAX(E6:E100)</f>
        <v>0</v>
      </c>
      <c r="G1" s="5" t="s">
        <v>8</v>
      </c>
      <c r="H1" s="5"/>
      <c r="I1" s="5"/>
      <c r="K1" t="s">
        <v>14</v>
      </c>
      <c r="L1">
        <v>-170.63988000000001</v>
      </c>
      <c r="N1" t="s">
        <v>11</v>
      </c>
      <c r="O1" t="e">
        <f>MATCH(1,E6:E100,0)</f>
        <v>#N/A</v>
      </c>
      <c r="P1" t="e">
        <f>O1+5</f>
        <v>#N/A</v>
      </c>
    </row>
    <row r="2" spans="1:16" x14ac:dyDescent="0.25">
      <c r="A2" s="3" t="s">
        <v>13</v>
      </c>
      <c r="B2" s="4">
        <v>9.81</v>
      </c>
      <c r="G2" s="5" t="s">
        <v>7</v>
      </c>
      <c r="H2" s="5" t="s">
        <v>2</v>
      </c>
      <c r="I2" s="5" t="s">
        <v>3</v>
      </c>
      <c r="N2" t="s">
        <v>9</v>
      </c>
      <c r="O2">
        <f>MATCH(1,F6:F100,0)</f>
        <v>1</v>
      </c>
      <c r="P2">
        <f>O2+5</f>
        <v>6</v>
      </c>
    </row>
    <row r="3" spans="1:16" x14ac:dyDescent="0.25">
      <c r="A3" s="5" t="s">
        <v>0</v>
      </c>
      <c r="B3" s="5" t="str">
        <f>IF(E1=1,"the target was destroyed","shot off the target")</f>
        <v>shot off the target</v>
      </c>
      <c r="C3" s="5"/>
      <c r="D3" s="5"/>
      <c r="G3" s="5">
        <f ca="1">INDIRECT(ADDRESS($P$3,1),TRUE)</f>
        <v>0.05</v>
      </c>
      <c r="H3" s="5">
        <f ca="1">INDIRECT(ADDRESS($P$3,2),TRUE)</f>
        <v>-0.59201136214753314</v>
      </c>
      <c r="I3" s="5">
        <f ca="1">INDIRECT(ADDRESS($P$3,3),TRUE)</f>
        <v>-0.10984603902284165</v>
      </c>
      <c r="N3" t="s">
        <v>10</v>
      </c>
      <c r="P3">
        <f>IF(ISNUMBER(P1),MIN(P1:P2),P2)</f>
        <v>6</v>
      </c>
    </row>
    <row r="5" spans="1:16" x14ac:dyDescent="0.25">
      <c r="A5" t="s">
        <v>1</v>
      </c>
      <c r="B5" t="s">
        <v>2</v>
      </c>
      <c r="C5" t="s">
        <v>3</v>
      </c>
      <c r="D5" t="s">
        <v>4</v>
      </c>
      <c r="E5" t="s">
        <v>5</v>
      </c>
      <c r="F5" t="s">
        <v>9</v>
      </c>
      <c r="J5" s="6"/>
    </row>
    <row r="6" spans="1:16" x14ac:dyDescent="0.25">
      <c r="A6">
        <v>0.05</v>
      </c>
      <c r="B6">
        <f>$B$1*A6*COS(RADIANS($L$1))</f>
        <v>-0.59201136214753314</v>
      </c>
      <c r="C6">
        <f>$B$1*A6*SIN(RADIANS($L$1))-$B$2*A6*A6/2</f>
        <v>-0.10984603902284165</v>
      </c>
      <c r="D6">
        <f>IF(B6 &lt;= 11, 0, IF(B6&lt;17, -7, IF(B6&lt;=20, -2, -7)))</f>
        <v>0</v>
      </c>
      <c r="E6">
        <f>IF(AND(B6&gt;=17,B6&lt;=20,C6&gt;=-7,C6&lt;=-2),1,0)</f>
        <v>0</v>
      </c>
      <c r="F6">
        <f>IF(B6&lt;=11, IF(C6&lt;=0, 1, 0), IF(C6&lt;=-7,1,0))</f>
        <v>1</v>
      </c>
    </row>
    <row r="7" spans="1:16" x14ac:dyDescent="0.25">
      <c r="A7">
        <v>0.1</v>
      </c>
      <c r="B7">
        <f t="shared" ref="B7:B70" si="0">$B$1*A7*COS(RADIANS($L$1))</f>
        <v>-1.1840227242950663</v>
      </c>
      <c r="C7">
        <f t="shared" ref="C7:C70" si="1">$B$1*A7*SIN(RADIANS($L$1))-$B$2*A7*A7/2</f>
        <v>-0.24421707804568332</v>
      </c>
      <c r="D7">
        <f t="shared" ref="D7:D70" si="2">IF(B7 &lt;= 11, 0, IF(B7&lt;17, -7, IF(B7&lt;=20, -2, -7)))</f>
        <v>0</v>
      </c>
      <c r="E7">
        <f>IF(MAX(F6)=1,0, IF(AND(B7&gt;=17,B7&lt;=20,C7&gt;=-7,C7&lt;=-2),1,0))</f>
        <v>0</v>
      </c>
      <c r="F7">
        <f t="shared" ref="F7:F70" si="3">IF(B7&lt;=11, IF(C7&lt;=0, 1, 0), IF(C7&lt;=-7,1,0))</f>
        <v>1</v>
      </c>
    </row>
    <row r="8" spans="1:16" x14ac:dyDescent="0.25">
      <c r="A8">
        <v>0.15</v>
      </c>
      <c r="B8">
        <f t="shared" si="0"/>
        <v>-1.776034086442599</v>
      </c>
      <c r="C8">
        <f t="shared" si="1"/>
        <v>-0.40311311706852493</v>
      </c>
      <c r="D8">
        <f t="shared" si="2"/>
        <v>0</v>
      </c>
      <c r="E8">
        <f>IF(MAX($F$6:F7)=1,0, IF(AND(B7&gt;=17,B7&lt;=20,C7&gt;=-7,C7&lt;=-2),1,0))</f>
        <v>0</v>
      </c>
      <c r="F8">
        <f t="shared" si="3"/>
        <v>1</v>
      </c>
    </row>
    <row r="9" spans="1:16" x14ac:dyDescent="0.25">
      <c r="A9">
        <v>0.2</v>
      </c>
      <c r="B9">
        <f t="shared" si="0"/>
        <v>-2.3680454485901326</v>
      </c>
      <c r="C9">
        <f t="shared" si="1"/>
        <v>-0.58653415609136661</v>
      </c>
      <c r="D9">
        <f t="shared" si="2"/>
        <v>0</v>
      </c>
      <c r="E9">
        <f>IF(MAX($F$6:F8)=1,0, IF(AND(B8&gt;=17,B8&lt;=20,C8&gt;=-7,C8&lt;=-2),1,0))</f>
        <v>0</v>
      </c>
      <c r="F9">
        <f t="shared" si="3"/>
        <v>1</v>
      </c>
    </row>
    <row r="10" spans="1:16" x14ac:dyDescent="0.25">
      <c r="A10">
        <v>0.25</v>
      </c>
      <c r="B10">
        <f t="shared" si="0"/>
        <v>-2.9600568107376652</v>
      </c>
      <c r="C10">
        <f t="shared" si="1"/>
        <v>-0.7944801951142082</v>
      </c>
      <c r="D10">
        <f t="shared" si="2"/>
        <v>0</v>
      </c>
      <c r="E10">
        <f>IF(MAX($F$6:F9)=1,0, IF(AND(B9&gt;=17,B9&lt;=20,C9&gt;=-7,C9&lt;=-2),1,0))</f>
        <v>0</v>
      </c>
      <c r="F10">
        <f t="shared" si="3"/>
        <v>1</v>
      </c>
    </row>
    <row r="11" spans="1:16" x14ac:dyDescent="0.25">
      <c r="A11">
        <v>0.3</v>
      </c>
      <c r="B11">
        <f t="shared" si="0"/>
        <v>-3.5520681728851979</v>
      </c>
      <c r="C11">
        <f t="shared" si="1"/>
        <v>-1.0269512341370497</v>
      </c>
      <c r="D11">
        <f t="shared" si="2"/>
        <v>0</v>
      </c>
      <c r="E11">
        <f>IF(MAX($F$6:F10)=1,0, IF(AND(B10&gt;=17,B10&lt;=20,C10&gt;=-7,C10&lt;=-2),1,0))</f>
        <v>0</v>
      </c>
      <c r="F11">
        <f t="shared" si="3"/>
        <v>1</v>
      </c>
    </row>
    <row r="12" spans="1:16" x14ac:dyDescent="0.25">
      <c r="A12">
        <v>0.35</v>
      </c>
      <c r="B12">
        <f t="shared" si="0"/>
        <v>-4.1440795350327306</v>
      </c>
      <c r="C12">
        <f t="shared" si="1"/>
        <v>-1.2839472731598913</v>
      </c>
      <c r="D12">
        <f t="shared" si="2"/>
        <v>0</v>
      </c>
      <c r="E12">
        <f>IF(MAX($F$6:F11)=1,0, IF(AND(B11&gt;=17,B11&lt;=20,C11&gt;=-7,C11&lt;=-2),1,0))</f>
        <v>0</v>
      </c>
      <c r="F12">
        <f t="shared" si="3"/>
        <v>1</v>
      </c>
    </row>
    <row r="13" spans="1:16" x14ac:dyDescent="0.25">
      <c r="A13">
        <v>0.4</v>
      </c>
      <c r="B13">
        <f t="shared" si="0"/>
        <v>-4.7360908971802651</v>
      </c>
      <c r="C13">
        <f t="shared" si="1"/>
        <v>-1.5654683121827335</v>
      </c>
      <c r="D13">
        <f t="shared" si="2"/>
        <v>0</v>
      </c>
      <c r="E13">
        <f>IF(MAX($F$6:F12)=1,0, IF(AND(B12&gt;=17,B12&lt;=20,C12&gt;=-7,C12&lt;=-2),1,0))</f>
        <v>0</v>
      </c>
      <c r="F13">
        <f t="shared" si="3"/>
        <v>1</v>
      </c>
    </row>
    <row r="14" spans="1:16" x14ac:dyDescent="0.25">
      <c r="A14">
        <v>0.45</v>
      </c>
      <c r="B14">
        <f t="shared" si="0"/>
        <v>-5.3281022593277978</v>
      </c>
      <c r="C14">
        <f t="shared" si="1"/>
        <v>-1.8715143512055747</v>
      </c>
      <c r="D14">
        <f t="shared" si="2"/>
        <v>0</v>
      </c>
      <c r="E14">
        <f>IF(MAX($F$6:F13)=1,0, IF(AND(B13&gt;=17,B13&lt;=20,C13&gt;=-7,C13&lt;=-2),1,0))</f>
        <v>0</v>
      </c>
      <c r="F14">
        <f t="shared" si="3"/>
        <v>1</v>
      </c>
    </row>
    <row r="15" spans="1:16" x14ac:dyDescent="0.25">
      <c r="A15">
        <v>0.5</v>
      </c>
      <c r="B15">
        <f t="shared" si="0"/>
        <v>-5.9201136214753305</v>
      </c>
      <c r="C15">
        <f t="shared" si="1"/>
        <v>-2.2020853902284165</v>
      </c>
      <c r="D15">
        <f t="shared" si="2"/>
        <v>0</v>
      </c>
      <c r="E15">
        <f>IF(MAX($F$6:F14)=1,0, IF(AND(B14&gt;=17,B14&lt;=20,C14&gt;=-7,C14&lt;=-2),1,0))</f>
        <v>0</v>
      </c>
      <c r="F15">
        <f t="shared" si="3"/>
        <v>1</v>
      </c>
    </row>
    <row r="16" spans="1:16" x14ac:dyDescent="0.25">
      <c r="A16">
        <v>0.55000000000000004</v>
      </c>
      <c r="B16">
        <f t="shared" si="0"/>
        <v>-6.5121249836228641</v>
      </c>
      <c r="C16">
        <f t="shared" si="1"/>
        <v>-2.5571814292512585</v>
      </c>
      <c r="D16">
        <f t="shared" si="2"/>
        <v>0</v>
      </c>
      <c r="E16">
        <f>IF(MAX($F$6:F15)=1,0, IF(AND(B15&gt;=17,B15&lt;=20,C15&gt;=-7,C15&lt;=-2),1,0))</f>
        <v>0</v>
      </c>
      <c r="F16">
        <f t="shared" si="3"/>
        <v>1</v>
      </c>
    </row>
    <row r="17" spans="1:6" x14ac:dyDescent="0.25">
      <c r="A17">
        <v>0.6</v>
      </c>
      <c r="B17">
        <f t="shared" si="0"/>
        <v>-7.1041363457703959</v>
      </c>
      <c r="C17">
        <f t="shared" si="1"/>
        <v>-2.9368024682740996</v>
      </c>
      <c r="D17">
        <f t="shared" si="2"/>
        <v>0</v>
      </c>
      <c r="E17">
        <f>IF(MAX($F$6:F16)=1,0, IF(AND(B16&gt;=17,B16&lt;=20,C16&gt;=-7,C16&lt;=-2),1,0))</f>
        <v>0</v>
      </c>
      <c r="F17">
        <f t="shared" si="3"/>
        <v>1</v>
      </c>
    </row>
    <row r="18" spans="1:6" x14ac:dyDescent="0.25">
      <c r="A18">
        <v>0.65</v>
      </c>
      <c r="B18">
        <f t="shared" si="0"/>
        <v>-7.6961477079179303</v>
      </c>
      <c r="C18">
        <f t="shared" si="1"/>
        <v>-3.3409485072969423</v>
      </c>
      <c r="D18">
        <f t="shared" si="2"/>
        <v>0</v>
      </c>
      <c r="E18">
        <f>IF(MAX($F$6:F17)=1,0, IF(AND(B17&gt;=17,B17&lt;=20,C17&gt;=-7,C17&lt;=-2),1,0))</f>
        <v>0</v>
      </c>
      <c r="F18">
        <f t="shared" si="3"/>
        <v>1</v>
      </c>
    </row>
    <row r="19" spans="1:6" x14ac:dyDescent="0.25">
      <c r="A19">
        <v>0.7</v>
      </c>
      <c r="B19">
        <f t="shared" si="0"/>
        <v>-8.2881590700654613</v>
      </c>
      <c r="C19">
        <f t="shared" si="1"/>
        <v>-3.7696195463197828</v>
      </c>
      <c r="D19">
        <f t="shared" si="2"/>
        <v>0</v>
      </c>
      <c r="E19">
        <f>IF(MAX($F$6:F18)=1,0, IF(AND(B18&gt;=17,B18&lt;=20,C18&gt;=-7,C18&lt;=-2),1,0))</f>
        <v>0</v>
      </c>
      <c r="F19">
        <f t="shared" si="3"/>
        <v>1</v>
      </c>
    </row>
    <row r="20" spans="1:6" x14ac:dyDescent="0.25">
      <c r="A20">
        <v>0.75</v>
      </c>
      <c r="B20">
        <f t="shared" si="0"/>
        <v>-8.8801704322129957</v>
      </c>
      <c r="C20">
        <f t="shared" si="1"/>
        <v>-4.2228155853426248</v>
      </c>
      <c r="D20">
        <f t="shared" si="2"/>
        <v>0</v>
      </c>
      <c r="E20">
        <f>IF(MAX($F$6:F19)=1,0, IF(AND(B19&gt;=17,B19&lt;=20,C19&gt;=-7,C19&lt;=-2),1,0))</f>
        <v>0</v>
      </c>
      <c r="F20">
        <f t="shared" si="3"/>
        <v>1</v>
      </c>
    </row>
    <row r="21" spans="1:6" x14ac:dyDescent="0.25">
      <c r="A21">
        <v>0.8</v>
      </c>
      <c r="B21">
        <f t="shared" si="0"/>
        <v>-9.4721817943605302</v>
      </c>
      <c r="C21">
        <f t="shared" si="1"/>
        <v>-4.7005366243654674</v>
      </c>
      <c r="D21">
        <f t="shared" si="2"/>
        <v>0</v>
      </c>
      <c r="E21">
        <f>IF(MAX($F$6:F20)=1,0, IF(AND(B20&gt;=17,B20&lt;=20,C20&gt;=-7,C20&lt;=-2),1,0))</f>
        <v>0</v>
      </c>
      <c r="F21">
        <f t="shared" si="3"/>
        <v>1</v>
      </c>
    </row>
    <row r="22" spans="1:6" x14ac:dyDescent="0.25">
      <c r="A22">
        <v>0.85</v>
      </c>
      <c r="B22">
        <f t="shared" si="0"/>
        <v>-10.064193156508061</v>
      </c>
      <c r="C22">
        <f t="shared" si="1"/>
        <v>-5.2027826633883079</v>
      </c>
      <c r="D22">
        <f t="shared" si="2"/>
        <v>0</v>
      </c>
      <c r="E22">
        <f>IF(MAX($F$6:F21)=1,0, IF(AND(B21&gt;=17,B21&lt;=20,C21&gt;=-7,C21&lt;=-2),1,0))</f>
        <v>0</v>
      </c>
      <c r="F22">
        <f t="shared" si="3"/>
        <v>1</v>
      </c>
    </row>
    <row r="23" spans="1:6" x14ac:dyDescent="0.25">
      <c r="A23">
        <v>0.9</v>
      </c>
      <c r="B23">
        <f t="shared" si="0"/>
        <v>-10.656204518655596</v>
      </c>
      <c r="C23">
        <f t="shared" si="1"/>
        <v>-5.7295537024111498</v>
      </c>
      <c r="D23">
        <f t="shared" si="2"/>
        <v>0</v>
      </c>
      <c r="E23">
        <f>IF(MAX($F$6:F22)=1,0, IF(AND(B22&gt;=17,B22&lt;=20,C22&gt;=-7,C22&lt;=-2),1,0))</f>
        <v>0</v>
      </c>
      <c r="F23">
        <f t="shared" si="3"/>
        <v>1</v>
      </c>
    </row>
    <row r="24" spans="1:6" x14ac:dyDescent="0.25">
      <c r="A24">
        <v>0.95</v>
      </c>
      <c r="B24">
        <f t="shared" si="0"/>
        <v>-11.248215880803127</v>
      </c>
      <c r="C24">
        <f t="shared" si="1"/>
        <v>-6.2808497414339906</v>
      </c>
      <c r="D24">
        <f t="shared" si="2"/>
        <v>0</v>
      </c>
      <c r="E24">
        <f>IF(MAX($F$6:F23)=1,0, IF(AND(B23&gt;=17,B23&lt;=20,C23&gt;=-7,C23&lt;=-2),1,0))</f>
        <v>0</v>
      </c>
      <c r="F24">
        <f t="shared" si="3"/>
        <v>1</v>
      </c>
    </row>
    <row r="25" spans="1:6" x14ac:dyDescent="0.25">
      <c r="A25">
        <v>1</v>
      </c>
      <c r="B25">
        <f t="shared" si="0"/>
        <v>-11.840227242950661</v>
      </c>
      <c r="C25">
        <f t="shared" si="1"/>
        <v>-6.8566707804568328</v>
      </c>
      <c r="D25">
        <f t="shared" si="2"/>
        <v>0</v>
      </c>
      <c r="E25">
        <f>IF(MAX($F$6:F24)=1,0, IF(AND(B24&gt;=17,B24&lt;=20,C24&gt;=-7,C24&lt;=-2),1,0))</f>
        <v>0</v>
      </c>
      <c r="F25">
        <f t="shared" si="3"/>
        <v>1</v>
      </c>
    </row>
    <row r="26" spans="1:6" x14ac:dyDescent="0.25">
      <c r="A26">
        <v>1.05</v>
      </c>
      <c r="B26">
        <f t="shared" si="0"/>
        <v>-12.432238605098195</v>
      </c>
      <c r="C26">
        <f t="shared" si="1"/>
        <v>-7.4570168194796764</v>
      </c>
      <c r="D26">
        <f t="shared" si="2"/>
        <v>0</v>
      </c>
      <c r="E26">
        <f>IF(MAX($F$6:F25)=1,0, IF(AND(B25&gt;=17,B25&lt;=20,C25&gt;=-7,C25&lt;=-2),1,0))</f>
        <v>0</v>
      </c>
      <c r="F26">
        <f t="shared" si="3"/>
        <v>1</v>
      </c>
    </row>
    <row r="27" spans="1:6" x14ac:dyDescent="0.25">
      <c r="A27">
        <v>1.1000000000000001</v>
      </c>
      <c r="B27">
        <f t="shared" si="0"/>
        <v>-13.024249967245728</v>
      </c>
      <c r="C27">
        <f t="shared" si="1"/>
        <v>-8.0818878585025171</v>
      </c>
      <c r="D27">
        <f t="shared" si="2"/>
        <v>0</v>
      </c>
      <c r="E27">
        <f>IF(MAX($F$6:F26)=1,0, IF(AND(B26&gt;=17,B26&lt;=20,C26&gt;=-7,C26&lt;=-2),1,0))</f>
        <v>0</v>
      </c>
      <c r="F27">
        <f t="shared" si="3"/>
        <v>1</v>
      </c>
    </row>
    <row r="28" spans="1:6" x14ac:dyDescent="0.25">
      <c r="A28">
        <v>1.1499999999999999</v>
      </c>
      <c r="B28">
        <f t="shared" si="0"/>
        <v>-13.616261329393259</v>
      </c>
      <c r="C28">
        <f t="shared" si="1"/>
        <v>-8.7312838975253566</v>
      </c>
      <c r="D28">
        <f t="shared" si="2"/>
        <v>0</v>
      </c>
      <c r="E28">
        <f>IF(MAX($F$6:F27)=1,0, IF(AND(B27&gt;=17,B27&lt;=20,C27&gt;=-7,C27&lt;=-2),1,0))</f>
        <v>0</v>
      </c>
      <c r="F28">
        <f t="shared" si="3"/>
        <v>1</v>
      </c>
    </row>
    <row r="29" spans="1:6" x14ac:dyDescent="0.25">
      <c r="A29">
        <v>1.2</v>
      </c>
      <c r="B29">
        <f t="shared" si="0"/>
        <v>-14.208272691540792</v>
      </c>
      <c r="C29">
        <f t="shared" si="1"/>
        <v>-9.4052049365481984</v>
      </c>
      <c r="D29">
        <f t="shared" si="2"/>
        <v>0</v>
      </c>
      <c r="E29">
        <f>IF(MAX($F$6:F28)=1,0, IF(AND(B28&gt;=17,B28&lt;=20,C28&gt;=-7,C28&lt;=-2),1,0))</f>
        <v>0</v>
      </c>
      <c r="F29">
        <f t="shared" si="3"/>
        <v>1</v>
      </c>
    </row>
    <row r="30" spans="1:6" x14ac:dyDescent="0.25">
      <c r="A30">
        <v>1.25</v>
      </c>
      <c r="B30">
        <f t="shared" si="0"/>
        <v>-14.800284053688326</v>
      </c>
      <c r="C30">
        <f t="shared" si="1"/>
        <v>-10.103650975571043</v>
      </c>
      <c r="D30">
        <f t="shared" si="2"/>
        <v>0</v>
      </c>
      <c r="E30">
        <f>IF(MAX($F$6:F29)=1,0, IF(AND(B29&gt;=17,B29&lt;=20,C29&gt;=-7,C29&lt;=-2),1,0))</f>
        <v>0</v>
      </c>
      <c r="F30">
        <f t="shared" si="3"/>
        <v>1</v>
      </c>
    </row>
    <row r="31" spans="1:6" x14ac:dyDescent="0.25">
      <c r="A31">
        <v>1.3</v>
      </c>
      <c r="B31">
        <f t="shared" si="0"/>
        <v>-15.392295415835861</v>
      </c>
      <c r="C31">
        <f t="shared" si="1"/>
        <v>-10.826622014593886</v>
      </c>
      <c r="D31">
        <f t="shared" si="2"/>
        <v>0</v>
      </c>
      <c r="E31">
        <f>IF(MAX($F$6:F30)=1,0, IF(AND(B30&gt;=17,B30&lt;=20,C30&gt;=-7,C30&lt;=-2),1,0))</f>
        <v>0</v>
      </c>
      <c r="F31">
        <f t="shared" si="3"/>
        <v>1</v>
      </c>
    </row>
    <row r="32" spans="1:6" x14ac:dyDescent="0.25">
      <c r="A32">
        <v>1.35</v>
      </c>
      <c r="B32">
        <f t="shared" si="0"/>
        <v>-15.984306777983395</v>
      </c>
      <c r="C32">
        <f t="shared" si="1"/>
        <v>-11.574118053616726</v>
      </c>
      <c r="D32">
        <f t="shared" si="2"/>
        <v>0</v>
      </c>
      <c r="E32">
        <f>IF(MAX($F$6:F31)=1,0, IF(AND(B31&gt;=17,B31&lt;=20,C31&gt;=-7,C31&lt;=-2),1,0))</f>
        <v>0</v>
      </c>
      <c r="F32">
        <f t="shared" si="3"/>
        <v>1</v>
      </c>
    </row>
    <row r="33" spans="1:6" x14ac:dyDescent="0.25">
      <c r="A33">
        <v>1.4</v>
      </c>
      <c r="B33">
        <f t="shared" si="0"/>
        <v>-16.576318140130923</v>
      </c>
      <c r="C33">
        <f t="shared" si="1"/>
        <v>-12.346139092639564</v>
      </c>
      <c r="D33">
        <f t="shared" si="2"/>
        <v>0</v>
      </c>
      <c r="E33">
        <f>IF(MAX($F$6:F32)=1,0, IF(AND(B32&gt;=17,B32&lt;=20,C32&gt;=-7,C32&lt;=-2),1,0))</f>
        <v>0</v>
      </c>
      <c r="F33">
        <f t="shared" si="3"/>
        <v>1</v>
      </c>
    </row>
    <row r="34" spans="1:6" x14ac:dyDescent="0.25">
      <c r="A34">
        <v>1.45</v>
      </c>
      <c r="B34">
        <f t="shared" si="0"/>
        <v>-17.168329502278457</v>
      </c>
      <c r="C34">
        <f t="shared" si="1"/>
        <v>-13.142685131662407</v>
      </c>
      <c r="D34">
        <f t="shared" si="2"/>
        <v>0</v>
      </c>
      <c r="E34">
        <f>IF(MAX($F$6:F33)=1,0, IF(AND(B33&gt;=17,B33&lt;=20,C33&gt;=-7,C33&lt;=-2),1,0))</f>
        <v>0</v>
      </c>
      <c r="F34">
        <f t="shared" si="3"/>
        <v>1</v>
      </c>
    </row>
    <row r="35" spans="1:6" x14ac:dyDescent="0.25">
      <c r="A35">
        <v>1.5</v>
      </c>
      <c r="B35">
        <f t="shared" si="0"/>
        <v>-17.760340864425991</v>
      </c>
      <c r="C35">
        <f t="shared" si="1"/>
        <v>-13.963756170685247</v>
      </c>
      <c r="D35">
        <f t="shared" si="2"/>
        <v>0</v>
      </c>
      <c r="E35">
        <f>IF(MAX($F$6:F34)=1,0, IF(AND(B34&gt;=17,B34&lt;=20,C34&gt;=-7,C34&lt;=-2),1,0))</f>
        <v>0</v>
      </c>
      <c r="F35">
        <f t="shared" si="3"/>
        <v>1</v>
      </c>
    </row>
    <row r="36" spans="1:6" x14ac:dyDescent="0.25">
      <c r="A36">
        <v>1.55</v>
      </c>
      <c r="B36">
        <f t="shared" si="0"/>
        <v>-18.352352226573526</v>
      </c>
      <c r="C36">
        <f t="shared" si="1"/>
        <v>-14.809352209708091</v>
      </c>
      <c r="D36">
        <f t="shared" si="2"/>
        <v>0</v>
      </c>
      <c r="E36">
        <f>IF(MAX($F$6:F35)=1,0, IF(AND(B35&gt;=17,B35&lt;=20,C35&gt;=-7,C35&lt;=-2),1,0))</f>
        <v>0</v>
      </c>
      <c r="F36">
        <f t="shared" si="3"/>
        <v>1</v>
      </c>
    </row>
    <row r="37" spans="1:6" x14ac:dyDescent="0.25">
      <c r="A37">
        <v>1.6</v>
      </c>
      <c r="B37">
        <f t="shared" si="0"/>
        <v>-18.94436358872106</v>
      </c>
      <c r="C37">
        <f t="shared" si="1"/>
        <v>-15.679473248730936</v>
      </c>
      <c r="D37">
        <f t="shared" si="2"/>
        <v>0</v>
      </c>
      <c r="E37">
        <f>IF(MAX($F$6:F36)=1,0, IF(AND(B36&gt;=17,B36&lt;=20,C36&gt;=-7,C36&lt;=-2),1,0))</f>
        <v>0</v>
      </c>
      <c r="F37">
        <f t="shared" si="3"/>
        <v>1</v>
      </c>
    </row>
    <row r="38" spans="1:6" x14ac:dyDescent="0.25">
      <c r="A38">
        <v>1.65</v>
      </c>
      <c r="B38">
        <f t="shared" si="0"/>
        <v>-19.536374950868588</v>
      </c>
      <c r="C38">
        <f t="shared" si="1"/>
        <v>-16.574119287753771</v>
      </c>
      <c r="D38">
        <f t="shared" si="2"/>
        <v>0</v>
      </c>
      <c r="E38">
        <f>IF(MAX($F$6:F37)=1,0, IF(AND(B37&gt;=17,B37&lt;=20,C37&gt;=-7,C37&lt;=-2),1,0))</f>
        <v>0</v>
      </c>
      <c r="F38">
        <f t="shared" si="3"/>
        <v>1</v>
      </c>
    </row>
    <row r="39" spans="1:6" x14ac:dyDescent="0.25">
      <c r="A39">
        <v>1.7</v>
      </c>
      <c r="B39">
        <f t="shared" si="0"/>
        <v>-20.128386313016122</v>
      </c>
      <c r="C39">
        <f t="shared" si="1"/>
        <v>-17.493290326776616</v>
      </c>
      <c r="D39">
        <f t="shared" si="2"/>
        <v>0</v>
      </c>
      <c r="E39">
        <f>IF(MAX($F$6:F38)=1,0, IF(AND(B38&gt;=17,B38&lt;=20,C38&gt;=-7,C38&lt;=-2),1,0))</f>
        <v>0</v>
      </c>
      <c r="F39">
        <f t="shared" si="3"/>
        <v>1</v>
      </c>
    </row>
    <row r="40" spans="1:6" x14ac:dyDescent="0.25">
      <c r="A40">
        <v>1.75</v>
      </c>
      <c r="B40">
        <f t="shared" si="0"/>
        <v>-20.720397675163657</v>
      </c>
      <c r="C40">
        <f t="shared" si="1"/>
        <v>-18.436986365799456</v>
      </c>
      <c r="D40">
        <f t="shared" si="2"/>
        <v>0</v>
      </c>
      <c r="E40">
        <f>IF(MAX($F$6:F39)=1,0, IF(AND(B39&gt;=17,B39&lt;=20,C39&gt;=-7,C39&lt;=-2),1,0))</f>
        <v>0</v>
      </c>
      <c r="F40">
        <f t="shared" si="3"/>
        <v>1</v>
      </c>
    </row>
    <row r="41" spans="1:6" x14ac:dyDescent="0.25">
      <c r="A41">
        <v>1.8</v>
      </c>
      <c r="B41">
        <f t="shared" si="0"/>
        <v>-21.312409037311191</v>
      </c>
      <c r="C41">
        <f t="shared" si="1"/>
        <v>-19.405207404822299</v>
      </c>
      <c r="D41">
        <f t="shared" si="2"/>
        <v>0</v>
      </c>
      <c r="E41">
        <f>IF(MAX($F$6:F40)=1,0, IF(AND(B40&gt;=17,B40&lt;=20,C40&gt;=-7,C40&lt;=-2),1,0))</f>
        <v>0</v>
      </c>
      <c r="F41">
        <f t="shared" si="3"/>
        <v>1</v>
      </c>
    </row>
    <row r="42" spans="1:6" x14ac:dyDescent="0.25">
      <c r="A42">
        <v>1.85</v>
      </c>
      <c r="B42">
        <f t="shared" si="0"/>
        <v>-21.904420399458726</v>
      </c>
      <c r="C42">
        <f t="shared" si="1"/>
        <v>-20.397953443845147</v>
      </c>
      <c r="D42">
        <f t="shared" si="2"/>
        <v>0</v>
      </c>
      <c r="E42">
        <f>IF(MAX($F$6:F41)=1,0, IF(AND(B41&gt;=17,B41&lt;=20,C41&gt;=-7,C41&lt;=-2),1,0))</f>
        <v>0</v>
      </c>
      <c r="F42">
        <f t="shared" si="3"/>
        <v>1</v>
      </c>
    </row>
    <row r="43" spans="1:6" x14ac:dyDescent="0.25">
      <c r="A43">
        <v>1.9</v>
      </c>
      <c r="B43">
        <f t="shared" si="0"/>
        <v>-22.496431761606253</v>
      </c>
      <c r="C43">
        <f t="shared" si="1"/>
        <v>-21.415224482867981</v>
      </c>
      <c r="D43">
        <f t="shared" si="2"/>
        <v>0</v>
      </c>
      <c r="E43">
        <f>IF(MAX($F$6:F42)=1,0, IF(AND(B42&gt;=17,B42&lt;=20,C42&gt;=-7,C42&lt;=-2),1,0))</f>
        <v>0</v>
      </c>
      <c r="F43">
        <f t="shared" si="3"/>
        <v>1</v>
      </c>
    </row>
    <row r="44" spans="1:6" x14ac:dyDescent="0.25">
      <c r="A44">
        <v>1.95</v>
      </c>
      <c r="B44">
        <f t="shared" si="0"/>
        <v>-23.088443123753787</v>
      </c>
      <c r="C44">
        <f t="shared" si="1"/>
        <v>-22.457020521890826</v>
      </c>
      <c r="D44">
        <f t="shared" si="2"/>
        <v>0</v>
      </c>
      <c r="E44">
        <f>IF(MAX($F$6:F43)=1,0, IF(AND(B43&gt;=17,B43&lt;=20,C43&gt;=-7,C43&lt;=-2),1,0))</f>
        <v>0</v>
      </c>
      <c r="F44">
        <f t="shared" si="3"/>
        <v>1</v>
      </c>
    </row>
    <row r="45" spans="1:6" x14ac:dyDescent="0.25">
      <c r="A45">
        <v>2</v>
      </c>
      <c r="B45">
        <f t="shared" si="0"/>
        <v>-23.680454485901322</v>
      </c>
      <c r="C45">
        <f t="shared" si="1"/>
        <v>-23.523341560913668</v>
      </c>
      <c r="D45">
        <f t="shared" si="2"/>
        <v>0</v>
      </c>
      <c r="E45">
        <f>IF(MAX($F$6:F44)=1,0, IF(AND(B44&gt;=17,B44&lt;=20,C44&gt;=-7,C44&lt;=-2),1,0))</f>
        <v>0</v>
      </c>
      <c r="F45">
        <f t="shared" si="3"/>
        <v>1</v>
      </c>
    </row>
    <row r="46" spans="1:6" x14ac:dyDescent="0.25">
      <c r="A46">
        <v>2.0499999999999998</v>
      </c>
      <c r="B46">
        <f t="shared" si="0"/>
        <v>-24.272465848048853</v>
      </c>
      <c r="C46">
        <f t="shared" si="1"/>
        <v>-24.614187599936503</v>
      </c>
      <c r="D46">
        <f t="shared" si="2"/>
        <v>0</v>
      </c>
      <c r="E46">
        <f>IF(MAX($F$6:F45)=1,0, IF(AND(B45&gt;=17,B45&lt;=20,C45&gt;=-7,C45&lt;=-2),1,0))</f>
        <v>0</v>
      </c>
      <c r="F46">
        <f t="shared" si="3"/>
        <v>1</v>
      </c>
    </row>
    <row r="47" spans="1:6" x14ac:dyDescent="0.25">
      <c r="A47">
        <v>2.1</v>
      </c>
      <c r="B47">
        <f t="shared" si="0"/>
        <v>-24.864477210196391</v>
      </c>
      <c r="C47">
        <f t="shared" si="1"/>
        <v>-25.729558638959354</v>
      </c>
      <c r="D47">
        <f t="shared" si="2"/>
        <v>0</v>
      </c>
      <c r="E47">
        <f>IF(MAX($F$6:F46)=1,0, IF(AND(B46&gt;=17,B46&lt;=20,C46&gt;=-7,C46&lt;=-2),1,0))</f>
        <v>0</v>
      </c>
      <c r="F47">
        <f t="shared" si="3"/>
        <v>1</v>
      </c>
    </row>
    <row r="48" spans="1:6" x14ac:dyDescent="0.25">
      <c r="A48">
        <v>2.15</v>
      </c>
      <c r="B48">
        <f t="shared" si="0"/>
        <v>-25.456488572343918</v>
      </c>
      <c r="C48">
        <f t="shared" si="1"/>
        <v>-26.869454677982191</v>
      </c>
      <c r="D48">
        <f t="shared" si="2"/>
        <v>0</v>
      </c>
      <c r="E48">
        <f>IF(MAX($F$6:F47)=1,0, IF(AND(B47&gt;=17,B47&lt;=20,C47&gt;=-7,C47&lt;=-2),1,0))</f>
        <v>0</v>
      </c>
      <c r="F48">
        <f t="shared" si="3"/>
        <v>1</v>
      </c>
    </row>
    <row r="49" spans="1:6" x14ac:dyDescent="0.25">
      <c r="A49">
        <v>2.2000000000000002</v>
      </c>
      <c r="B49">
        <f t="shared" si="0"/>
        <v>-26.048499934491456</v>
      </c>
      <c r="C49">
        <f t="shared" si="1"/>
        <v>-28.033875717005039</v>
      </c>
      <c r="D49">
        <f t="shared" si="2"/>
        <v>0</v>
      </c>
      <c r="E49">
        <f>IF(MAX($F$6:F48)=1,0, IF(AND(B48&gt;=17,B48&lt;=20,C48&gt;=-7,C48&lt;=-2),1,0))</f>
        <v>0</v>
      </c>
      <c r="F49">
        <f t="shared" si="3"/>
        <v>1</v>
      </c>
    </row>
    <row r="50" spans="1:6" x14ac:dyDescent="0.25">
      <c r="A50">
        <v>2.25</v>
      </c>
      <c r="B50">
        <f t="shared" si="0"/>
        <v>-26.640511296638987</v>
      </c>
      <c r="C50">
        <f t="shared" si="1"/>
        <v>-29.222821756027876</v>
      </c>
      <c r="D50">
        <f t="shared" si="2"/>
        <v>0</v>
      </c>
      <c r="E50">
        <f>IF(MAX($F$6:F49)=1,0, IF(AND(B49&gt;=17,B49&lt;=20,C49&gt;=-7,C49&lt;=-2),1,0))</f>
        <v>0</v>
      </c>
      <c r="F50">
        <f t="shared" si="3"/>
        <v>1</v>
      </c>
    </row>
    <row r="51" spans="1:6" x14ac:dyDescent="0.25">
      <c r="A51">
        <v>2.2999999999999998</v>
      </c>
      <c r="B51">
        <f t="shared" si="0"/>
        <v>-27.232522658786518</v>
      </c>
      <c r="C51">
        <f t="shared" si="1"/>
        <v>-30.436292795050711</v>
      </c>
      <c r="D51">
        <f t="shared" si="2"/>
        <v>0</v>
      </c>
      <c r="E51">
        <f>IF(MAX($F$6:F50)=1,0, IF(AND(B50&gt;=17,B50&lt;=20,C50&gt;=-7,C50&lt;=-2),1,0))</f>
        <v>0</v>
      </c>
      <c r="F51">
        <f t="shared" si="3"/>
        <v>1</v>
      </c>
    </row>
    <row r="52" spans="1:6" x14ac:dyDescent="0.25">
      <c r="A52">
        <v>2.35</v>
      </c>
      <c r="B52">
        <f t="shared" si="0"/>
        <v>-27.824534020934056</v>
      </c>
      <c r="C52">
        <f t="shared" si="1"/>
        <v>-31.674288834073561</v>
      </c>
      <c r="D52">
        <f t="shared" si="2"/>
        <v>0</v>
      </c>
      <c r="E52">
        <f>IF(MAX($F$6:F51)=1,0, IF(AND(B51&gt;=17,B51&lt;=20,C51&gt;=-7,C51&lt;=-2),1,0))</f>
        <v>0</v>
      </c>
      <c r="F52">
        <f t="shared" si="3"/>
        <v>1</v>
      </c>
    </row>
    <row r="53" spans="1:6" x14ac:dyDescent="0.25">
      <c r="A53">
        <v>2.4</v>
      </c>
      <c r="B53">
        <f t="shared" si="0"/>
        <v>-28.416545383081584</v>
      </c>
      <c r="C53">
        <f t="shared" si="1"/>
        <v>-32.936809873096401</v>
      </c>
      <c r="D53">
        <f t="shared" si="2"/>
        <v>0</v>
      </c>
      <c r="E53">
        <f>IF(MAX($F$6:F52)=1,0, IF(AND(B52&gt;=17,B52&lt;=20,C52&gt;=-7,C52&lt;=-2),1,0))</f>
        <v>0</v>
      </c>
      <c r="F53">
        <f t="shared" si="3"/>
        <v>1</v>
      </c>
    </row>
    <row r="54" spans="1:6" x14ac:dyDescent="0.25">
      <c r="A54">
        <v>2.4500000000000002</v>
      </c>
      <c r="B54">
        <f t="shared" si="0"/>
        <v>-29.008556745229122</v>
      </c>
      <c r="C54">
        <f t="shared" si="1"/>
        <v>-34.223855912119248</v>
      </c>
      <c r="D54">
        <f t="shared" si="2"/>
        <v>0</v>
      </c>
      <c r="E54">
        <f>IF(MAX($F$6:F53)=1,0, IF(AND(B53&gt;=17,B53&lt;=20,C53&gt;=-7,C53&lt;=-2),1,0))</f>
        <v>0</v>
      </c>
      <c r="F54">
        <f t="shared" si="3"/>
        <v>1</v>
      </c>
    </row>
    <row r="55" spans="1:6" x14ac:dyDescent="0.25">
      <c r="A55">
        <v>2.5</v>
      </c>
      <c r="B55">
        <f t="shared" si="0"/>
        <v>-29.600568107376652</v>
      </c>
      <c r="C55">
        <f t="shared" si="1"/>
        <v>-35.535426951142085</v>
      </c>
      <c r="D55">
        <f t="shared" si="2"/>
        <v>0</v>
      </c>
      <c r="E55">
        <f>IF(MAX($F$6:F54)=1,0, IF(AND(B54&gt;=17,B54&lt;=20,C54&gt;=-7,C54&lt;=-2),1,0))</f>
        <v>0</v>
      </c>
      <c r="F55">
        <f t="shared" si="3"/>
        <v>1</v>
      </c>
    </row>
    <row r="56" spans="1:6" x14ac:dyDescent="0.25">
      <c r="A56">
        <v>2.5499999999999998</v>
      </c>
      <c r="B56">
        <f t="shared" si="0"/>
        <v>-30.192579469524183</v>
      </c>
      <c r="C56">
        <f t="shared" si="1"/>
        <v>-36.87152299016492</v>
      </c>
      <c r="D56">
        <f t="shared" si="2"/>
        <v>0</v>
      </c>
      <c r="E56">
        <f>IF(MAX($F$6:F55)=1,0, IF(AND(B55&gt;=17,B55&lt;=20,C55&gt;=-7,C55&lt;=-2),1,0))</f>
        <v>0</v>
      </c>
      <c r="F56">
        <f t="shared" si="3"/>
        <v>1</v>
      </c>
    </row>
    <row r="57" spans="1:6" x14ac:dyDescent="0.25">
      <c r="A57">
        <v>2.6</v>
      </c>
      <c r="B57">
        <f t="shared" si="0"/>
        <v>-30.784590831671721</v>
      </c>
      <c r="C57">
        <f t="shared" si="1"/>
        <v>-38.232144029187772</v>
      </c>
      <c r="D57">
        <f t="shared" si="2"/>
        <v>0</v>
      </c>
      <c r="E57">
        <f>IF(MAX($F$6:F56)=1,0, IF(AND(B56&gt;=17,B56&lt;=20,C56&gt;=-7,C56&lt;=-2),1,0))</f>
        <v>0</v>
      </c>
      <c r="F57">
        <f t="shared" si="3"/>
        <v>1</v>
      </c>
    </row>
    <row r="58" spans="1:6" x14ac:dyDescent="0.25">
      <c r="A58">
        <v>2.65</v>
      </c>
      <c r="B58">
        <f t="shared" si="0"/>
        <v>-31.376602193819249</v>
      </c>
      <c r="C58">
        <f t="shared" si="1"/>
        <v>-39.617290068210608</v>
      </c>
      <c r="D58">
        <f t="shared" si="2"/>
        <v>0</v>
      </c>
      <c r="E58">
        <f>IF(MAX($F$6:F57)=1,0, IF(AND(B57&gt;=17,B57&lt;=20,C57&gt;=-7,C57&lt;=-2),1,0))</f>
        <v>0</v>
      </c>
      <c r="F58">
        <f t="shared" si="3"/>
        <v>1</v>
      </c>
    </row>
    <row r="59" spans="1:6" x14ac:dyDescent="0.25">
      <c r="A59">
        <v>2.7</v>
      </c>
      <c r="B59">
        <f t="shared" si="0"/>
        <v>-31.96861355596679</v>
      </c>
      <c r="C59">
        <f t="shared" si="1"/>
        <v>-41.026961107233454</v>
      </c>
      <c r="D59">
        <f t="shared" si="2"/>
        <v>0</v>
      </c>
      <c r="E59">
        <f>IF(MAX($F$6:F58)=1,0, IF(AND(B58&gt;=17,B58&lt;=20,C58&gt;=-7,C58&lt;=-2),1,0))</f>
        <v>0</v>
      </c>
      <c r="F59">
        <f t="shared" si="3"/>
        <v>1</v>
      </c>
    </row>
    <row r="60" spans="1:6" x14ac:dyDescent="0.25">
      <c r="A60">
        <v>2.75</v>
      </c>
      <c r="B60">
        <f t="shared" si="0"/>
        <v>-32.560624918114314</v>
      </c>
      <c r="C60">
        <f t="shared" si="1"/>
        <v>-42.461157146256298</v>
      </c>
      <c r="D60">
        <f t="shared" si="2"/>
        <v>0</v>
      </c>
      <c r="E60">
        <f>IF(MAX($F$6:F59)=1,0, IF(AND(B59&gt;=17,B59&lt;=20,C59&gt;=-7,C59&lt;=-2),1,0))</f>
        <v>0</v>
      </c>
      <c r="F60">
        <f t="shared" si="3"/>
        <v>1</v>
      </c>
    </row>
    <row r="61" spans="1:6" x14ac:dyDescent="0.25">
      <c r="A61">
        <v>2.8</v>
      </c>
      <c r="B61">
        <f t="shared" si="0"/>
        <v>-33.152636280261845</v>
      </c>
      <c r="C61">
        <f t="shared" si="1"/>
        <v>-43.919878185279131</v>
      </c>
      <c r="D61">
        <f t="shared" si="2"/>
        <v>0</v>
      </c>
      <c r="E61">
        <f>IF(MAX($F$6:F60)=1,0, IF(AND(B60&gt;=17,B60&lt;=20,C60&gt;=-7,C60&lt;=-2),1,0))</f>
        <v>0</v>
      </c>
      <c r="F61">
        <f t="shared" si="3"/>
        <v>1</v>
      </c>
    </row>
    <row r="62" spans="1:6" x14ac:dyDescent="0.25">
      <c r="A62">
        <v>2.85</v>
      </c>
      <c r="B62">
        <f t="shared" si="0"/>
        <v>-33.744647642409383</v>
      </c>
      <c r="C62">
        <f t="shared" si="1"/>
        <v>-45.403124224301976</v>
      </c>
      <c r="D62">
        <f t="shared" si="2"/>
        <v>0</v>
      </c>
      <c r="E62">
        <f>IF(MAX($F$6:F61)=1,0, IF(AND(B61&gt;=17,B61&lt;=20,C61&gt;=-7,C61&lt;=-2),1,0))</f>
        <v>0</v>
      </c>
      <c r="F62">
        <f t="shared" si="3"/>
        <v>1</v>
      </c>
    </row>
    <row r="63" spans="1:6" x14ac:dyDescent="0.25">
      <c r="A63">
        <v>2.9</v>
      </c>
      <c r="B63">
        <f t="shared" si="0"/>
        <v>-34.336659004556914</v>
      </c>
      <c r="C63">
        <f t="shared" si="1"/>
        <v>-46.910895263324818</v>
      </c>
      <c r="D63">
        <f t="shared" si="2"/>
        <v>0</v>
      </c>
      <c r="E63">
        <f>IF(MAX($F$6:F62)=1,0, IF(AND(B62&gt;=17,B62&lt;=20,C62&gt;=-7,C62&lt;=-2),1,0))</f>
        <v>0</v>
      </c>
      <c r="F63">
        <f t="shared" si="3"/>
        <v>1</v>
      </c>
    </row>
    <row r="64" spans="1:6" x14ac:dyDescent="0.25">
      <c r="A64">
        <v>2.95</v>
      </c>
      <c r="B64">
        <f t="shared" si="0"/>
        <v>-34.928670366704452</v>
      </c>
      <c r="C64">
        <f t="shared" si="1"/>
        <v>-48.443191302347657</v>
      </c>
      <c r="D64">
        <f t="shared" si="2"/>
        <v>0</v>
      </c>
      <c r="E64">
        <f>IF(MAX($F$6:F63)=1,0, IF(AND(B63&gt;=17,B63&lt;=20,C63&gt;=-7,C63&lt;=-2),1,0))</f>
        <v>0</v>
      </c>
      <c r="F64">
        <f t="shared" si="3"/>
        <v>1</v>
      </c>
    </row>
    <row r="65" spans="1:6" x14ac:dyDescent="0.25">
      <c r="A65">
        <v>3</v>
      </c>
      <c r="B65">
        <f t="shared" si="0"/>
        <v>-35.520681728851983</v>
      </c>
      <c r="C65">
        <f t="shared" si="1"/>
        <v>-50.000012341370493</v>
      </c>
      <c r="D65">
        <f t="shared" si="2"/>
        <v>0</v>
      </c>
      <c r="E65">
        <f>IF(MAX($F$6:F64)=1,0, IF(AND(B64&gt;=17,B64&lt;=20,C64&gt;=-7,C64&lt;=-2),1,0))</f>
        <v>0</v>
      </c>
      <c r="F65">
        <f t="shared" si="3"/>
        <v>1</v>
      </c>
    </row>
    <row r="66" spans="1:6" x14ac:dyDescent="0.25">
      <c r="A66">
        <v>3.05</v>
      </c>
      <c r="B66">
        <f t="shared" si="0"/>
        <v>-36.112693090999514</v>
      </c>
      <c r="C66">
        <f t="shared" si="1"/>
        <v>-51.58135838039334</v>
      </c>
      <c r="D66">
        <f t="shared" si="2"/>
        <v>0</v>
      </c>
      <c r="E66">
        <f>IF(MAX($F$6:F65)=1,0, IF(AND(B65&gt;=17,B65&lt;=20,C65&gt;=-7,C65&lt;=-2),1,0))</f>
        <v>0</v>
      </c>
      <c r="F66">
        <f t="shared" si="3"/>
        <v>1</v>
      </c>
    </row>
    <row r="67" spans="1:6" x14ac:dyDescent="0.25">
      <c r="A67">
        <v>3.1</v>
      </c>
      <c r="B67">
        <f t="shared" si="0"/>
        <v>-36.704704453147052</v>
      </c>
      <c r="C67">
        <f t="shared" si="1"/>
        <v>-53.187229419416184</v>
      </c>
      <c r="D67">
        <f t="shared" si="2"/>
        <v>0</v>
      </c>
      <c r="E67">
        <f>IF(MAX($F$6:F66)=1,0, IF(AND(B66&gt;=17,B66&lt;=20,C66&gt;=-7,C66&lt;=-2),1,0))</f>
        <v>0</v>
      </c>
      <c r="F67">
        <f t="shared" si="3"/>
        <v>1</v>
      </c>
    </row>
    <row r="68" spans="1:6" x14ac:dyDescent="0.25">
      <c r="A68">
        <v>3.15</v>
      </c>
      <c r="B68">
        <f t="shared" si="0"/>
        <v>-37.296715815294583</v>
      </c>
      <c r="C68">
        <f t="shared" si="1"/>
        <v>-54.817625458439025</v>
      </c>
      <c r="D68">
        <f t="shared" si="2"/>
        <v>0</v>
      </c>
      <c r="E68">
        <f>IF(MAX($F$6:F67)=1,0, IF(AND(B67&gt;=17,B67&lt;=20,C67&gt;=-7,C67&lt;=-2),1,0))</f>
        <v>0</v>
      </c>
      <c r="F68">
        <f t="shared" si="3"/>
        <v>1</v>
      </c>
    </row>
    <row r="69" spans="1:6" x14ac:dyDescent="0.25">
      <c r="A69">
        <v>3.2</v>
      </c>
      <c r="B69">
        <f t="shared" si="0"/>
        <v>-37.888727177442121</v>
      </c>
      <c r="C69">
        <f t="shared" si="1"/>
        <v>-56.472546497461877</v>
      </c>
      <c r="D69">
        <f t="shared" si="2"/>
        <v>0</v>
      </c>
      <c r="E69">
        <f>IF(MAX($F$6:F68)=1,0, IF(AND(B68&gt;=17,B68&lt;=20,C68&gt;=-7,C68&lt;=-2),1,0))</f>
        <v>0</v>
      </c>
      <c r="F69">
        <f t="shared" si="3"/>
        <v>1</v>
      </c>
    </row>
    <row r="70" spans="1:6" x14ac:dyDescent="0.25">
      <c r="A70">
        <v>3.25</v>
      </c>
      <c r="B70">
        <f t="shared" si="0"/>
        <v>-38.480738539589652</v>
      </c>
      <c r="C70">
        <f t="shared" si="1"/>
        <v>-58.151992536484713</v>
      </c>
      <c r="D70">
        <f t="shared" si="2"/>
        <v>0</v>
      </c>
      <c r="E70">
        <f>IF(MAX($F$6:F69)=1,0, IF(AND(B69&gt;=17,B69&lt;=20,C69&gt;=-7,C69&lt;=-2),1,0))</f>
        <v>0</v>
      </c>
      <c r="F70">
        <f t="shared" si="3"/>
        <v>1</v>
      </c>
    </row>
    <row r="71" spans="1:6" x14ac:dyDescent="0.25">
      <c r="A71">
        <v>3.3</v>
      </c>
      <c r="B71">
        <f t="shared" ref="B71:B100" si="4">$B$1*A71*COS(RADIANS($L$1))</f>
        <v>-39.072749901737176</v>
      </c>
      <c r="C71">
        <f t="shared" ref="C71:C100" si="5">$B$1*A71*SIN(RADIANS($L$1))-$B$2*A71*A71/2</f>
        <v>-59.855963575507538</v>
      </c>
      <c r="D71">
        <f t="shared" ref="D71:D100" si="6">IF(B71 &lt;= 11, 0, IF(B71&lt;17, -7, IF(B71&lt;=20, -2, -7)))</f>
        <v>0</v>
      </c>
      <c r="E71">
        <f>IF(MAX($F$6:F70)=1,0, IF(AND(B70&gt;=17,B70&lt;=20,C70&gt;=-7,C70&lt;=-2),1,0))</f>
        <v>0</v>
      </c>
      <c r="F71">
        <f t="shared" ref="F71:F100" si="7">IF(B71&lt;=11, IF(C71&lt;=0, 1, 0), IF(C71&lt;=-7,1,0))</f>
        <v>1</v>
      </c>
    </row>
    <row r="72" spans="1:6" x14ac:dyDescent="0.25">
      <c r="A72">
        <v>3.35</v>
      </c>
      <c r="B72">
        <f t="shared" si="4"/>
        <v>-39.664761263884714</v>
      </c>
      <c r="C72">
        <f t="shared" si="5"/>
        <v>-61.584459614530395</v>
      </c>
      <c r="D72">
        <f t="shared" si="6"/>
        <v>0</v>
      </c>
      <c r="E72">
        <f>IF(MAX($F$6:F71)=1,0, IF(AND(B71&gt;=17,B71&lt;=20,C71&gt;=-7,C71&lt;=-2),1,0))</f>
        <v>0</v>
      </c>
      <c r="F72">
        <f t="shared" si="7"/>
        <v>1</v>
      </c>
    </row>
    <row r="73" spans="1:6" x14ac:dyDescent="0.25">
      <c r="A73">
        <v>3.4</v>
      </c>
      <c r="B73">
        <f t="shared" si="4"/>
        <v>-40.256772626032244</v>
      </c>
      <c r="C73">
        <f t="shared" si="5"/>
        <v>-63.337480653553229</v>
      </c>
      <c r="D73">
        <f t="shared" si="6"/>
        <v>0</v>
      </c>
      <c r="E73">
        <f>IF(MAX($F$6:F72)=1,0, IF(AND(B72&gt;=17,B72&lt;=20,C72&gt;=-7,C72&lt;=-2),1,0))</f>
        <v>0</v>
      </c>
      <c r="F73">
        <f t="shared" si="7"/>
        <v>1</v>
      </c>
    </row>
    <row r="74" spans="1:6" x14ac:dyDescent="0.25">
      <c r="A74">
        <v>3.45</v>
      </c>
      <c r="B74">
        <f t="shared" si="4"/>
        <v>-40.848783988179783</v>
      </c>
      <c r="C74">
        <f t="shared" si="5"/>
        <v>-65.11502669257608</v>
      </c>
      <c r="D74">
        <f t="shared" si="6"/>
        <v>0</v>
      </c>
      <c r="E74">
        <f>IF(MAX($F$6:F73)=1,0, IF(AND(B73&gt;=17,B73&lt;=20,C73&gt;=-7,C73&lt;=-2),1,0))</f>
        <v>0</v>
      </c>
      <c r="F74">
        <f t="shared" si="7"/>
        <v>1</v>
      </c>
    </row>
    <row r="75" spans="1:6" x14ac:dyDescent="0.25">
      <c r="A75">
        <v>3.5</v>
      </c>
      <c r="B75">
        <f t="shared" si="4"/>
        <v>-41.440795350327313</v>
      </c>
      <c r="C75">
        <f t="shared" si="5"/>
        <v>-66.917097731598915</v>
      </c>
      <c r="D75">
        <f t="shared" si="6"/>
        <v>0</v>
      </c>
      <c r="E75">
        <f>IF(MAX($F$6:F74)=1,0, IF(AND(B74&gt;=17,B74&lt;=20,C74&gt;=-7,C74&lt;=-2),1,0))</f>
        <v>0</v>
      </c>
      <c r="F75">
        <f t="shared" si="7"/>
        <v>1</v>
      </c>
    </row>
    <row r="76" spans="1:6" x14ac:dyDescent="0.25">
      <c r="A76">
        <v>3.55</v>
      </c>
      <c r="B76">
        <f t="shared" si="4"/>
        <v>-42.032806712474844</v>
      </c>
      <c r="C76">
        <f t="shared" si="5"/>
        <v>-68.743693770621746</v>
      </c>
      <c r="D76">
        <f t="shared" si="6"/>
        <v>0</v>
      </c>
      <c r="E76">
        <f>IF(MAX($F$6:F75)=1,0, IF(AND(B75&gt;=17,B75&lt;=20,C75&gt;=-7,C75&lt;=-2),1,0))</f>
        <v>0</v>
      </c>
      <c r="F76">
        <f t="shared" si="7"/>
        <v>1</v>
      </c>
    </row>
    <row r="77" spans="1:6" x14ac:dyDescent="0.25">
      <c r="A77">
        <v>3.6</v>
      </c>
      <c r="B77">
        <f t="shared" si="4"/>
        <v>-42.624818074622382</v>
      </c>
      <c r="C77">
        <f t="shared" si="5"/>
        <v>-70.594814809644603</v>
      </c>
      <c r="D77">
        <f t="shared" si="6"/>
        <v>0</v>
      </c>
      <c r="E77">
        <f>IF(MAX($F$6:F76)=1,0, IF(AND(B76&gt;=17,B76&lt;=20,C76&gt;=-7,C76&lt;=-2),1,0))</f>
        <v>0</v>
      </c>
      <c r="F77">
        <f t="shared" si="7"/>
        <v>1</v>
      </c>
    </row>
    <row r="78" spans="1:6" x14ac:dyDescent="0.25">
      <c r="A78">
        <v>3.65</v>
      </c>
      <c r="B78">
        <f t="shared" si="4"/>
        <v>-43.216829436769913</v>
      </c>
      <c r="C78">
        <f t="shared" si="5"/>
        <v>-72.470460848667443</v>
      </c>
      <c r="D78">
        <f t="shared" si="6"/>
        <v>0</v>
      </c>
      <c r="E78">
        <f>IF(MAX($F$6:F77)=1,0, IF(AND(B77&gt;=17,B77&lt;=20,C77&gt;=-7,C77&lt;=-2),1,0))</f>
        <v>0</v>
      </c>
      <c r="F78">
        <f t="shared" si="7"/>
        <v>1</v>
      </c>
    </row>
    <row r="79" spans="1:6" x14ac:dyDescent="0.25">
      <c r="A79">
        <v>3.7</v>
      </c>
      <c r="B79">
        <f t="shared" si="4"/>
        <v>-43.808840798917451</v>
      </c>
      <c r="C79">
        <f t="shared" si="5"/>
        <v>-74.370631887690294</v>
      </c>
      <c r="D79">
        <f t="shared" si="6"/>
        <v>0</v>
      </c>
      <c r="E79">
        <f>IF(MAX($F$6:F78)=1,0, IF(AND(B78&gt;=17,B78&lt;=20,C78&gt;=-7,C78&lt;=-2),1,0))</f>
        <v>0</v>
      </c>
      <c r="F79">
        <f t="shared" si="7"/>
        <v>1</v>
      </c>
    </row>
    <row r="80" spans="1:6" x14ac:dyDescent="0.25">
      <c r="A80">
        <v>3.75</v>
      </c>
      <c r="B80">
        <f t="shared" si="4"/>
        <v>-44.400852161064975</v>
      </c>
      <c r="C80">
        <f t="shared" si="5"/>
        <v>-76.295327926713128</v>
      </c>
      <c r="D80">
        <f t="shared" si="6"/>
        <v>0</v>
      </c>
      <c r="E80">
        <f>IF(MAX($F$6:F79)=1,0, IF(AND(B79&gt;=17,B79&lt;=20,C79&gt;=-7,C79&lt;=-2),1,0))</f>
        <v>0</v>
      </c>
      <c r="F80">
        <f t="shared" si="7"/>
        <v>1</v>
      </c>
    </row>
    <row r="81" spans="1:6" x14ac:dyDescent="0.25">
      <c r="A81">
        <v>3.8</v>
      </c>
      <c r="B81">
        <f t="shared" si="4"/>
        <v>-44.992863523212506</v>
      </c>
      <c r="C81">
        <f t="shared" si="5"/>
        <v>-78.244548965735959</v>
      </c>
      <c r="D81">
        <f t="shared" si="6"/>
        <v>0</v>
      </c>
      <c r="E81">
        <f>IF(MAX($F$6:F80)=1,0, IF(AND(B80&gt;=17,B80&lt;=20,C80&gt;=-7,C80&lt;=-2),1,0))</f>
        <v>0</v>
      </c>
      <c r="F81">
        <f t="shared" si="7"/>
        <v>1</v>
      </c>
    </row>
    <row r="82" spans="1:6" x14ac:dyDescent="0.25">
      <c r="A82">
        <v>3.85</v>
      </c>
      <c r="B82">
        <f t="shared" si="4"/>
        <v>-45.584874885360044</v>
      </c>
      <c r="C82">
        <f t="shared" si="5"/>
        <v>-80.218295004758815</v>
      </c>
      <c r="D82">
        <f t="shared" si="6"/>
        <v>0</v>
      </c>
      <c r="E82">
        <f>IF(MAX($F$6:F81)=1,0, IF(AND(B81&gt;=17,B81&lt;=20,C81&gt;=-7,C81&lt;=-2),1,0))</f>
        <v>0</v>
      </c>
      <c r="F82">
        <f t="shared" si="7"/>
        <v>1</v>
      </c>
    </row>
    <row r="83" spans="1:6" x14ac:dyDescent="0.25">
      <c r="A83">
        <v>3.9</v>
      </c>
      <c r="B83">
        <f t="shared" si="4"/>
        <v>-46.176886247507575</v>
      </c>
      <c r="C83">
        <f t="shared" si="5"/>
        <v>-82.216566043781654</v>
      </c>
      <c r="D83">
        <f t="shared" si="6"/>
        <v>0</v>
      </c>
      <c r="E83">
        <f>IF(MAX($F$6:F82)=1,0, IF(AND(B82&gt;=17,B82&lt;=20,C82&gt;=-7,C82&lt;=-2),1,0))</f>
        <v>0</v>
      </c>
      <c r="F83">
        <f t="shared" si="7"/>
        <v>1</v>
      </c>
    </row>
    <row r="84" spans="1:6" x14ac:dyDescent="0.25">
      <c r="A84">
        <v>3.95</v>
      </c>
      <c r="B84">
        <f t="shared" si="4"/>
        <v>-46.768897609655113</v>
      </c>
      <c r="C84">
        <f t="shared" si="5"/>
        <v>-84.23936208280449</v>
      </c>
      <c r="D84">
        <f t="shared" si="6"/>
        <v>0</v>
      </c>
      <c r="E84">
        <f>IF(MAX($F$6:F83)=1,0, IF(AND(B83&gt;=17,B83&lt;=20,C83&gt;=-7,C83&lt;=-2),1,0))</f>
        <v>0</v>
      </c>
      <c r="F84">
        <f t="shared" si="7"/>
        <v>1</v>
      </c>
    </row>
    <row r="85" spans="1:6" x14ac:dyDescent="0.25">
      <c r="A85">
        <v>4</v>
      </c>
      <c r="B85">
        <f t="shared" si="4"/>
        <v>-47.360908971802644</v>
      </c>
      <c r="C85">
        <f t="shared" si="5"/>
        <v>-86.286683121827338</v>
      </c>
      <c r="D85">
        <f t="shared" si="6"/>
        <v>0</v>
      </c>
      <c r="E85">
        <f>IF(MAX($F$6:F84)=1,0, IF(AND(B84&gt;=17,B84&lt;=20,C84&gt;=-7,C84&lt;=-2),1,0))</f>
        <v>0</v>
      </c>
      <c r="F85">
        <f t="shared" si="7"/>
        <v>1</v>
      </c>
    </row>
    <row r="86" spans="1:6" x14ac:dyDescent="0.25">
      <c r="A86">
        <v>4.05</v>
      </c>
      <c r="B86">
        <f t="shared" si="4"/>
        <v>-47.952920333950175</v>
      </c>
      <c r="C86">
        <f t="shared" si="5"/>
        <v>-88.358529160850168</v>
      </c>
      <c r="D86">
        <f t="shared" si="6"/>
        <v>0</v>
      </c>
      <c r="E86">
        <f>IF(MAX($F$6:F85)=1,0, IF(AND(B85&gt;=17,B85&lt;=20,C85&gt;=-7,C85&lt;=-2),1,0))</f>
        <v>0</v>
      </c>
      <c r="F86">
        <f t="shared" si="7"/>
        <v>1</v>
      </c>
    </row>
    <row r="87" spans="1:6" x14ac:dyDescent="0.25">
      <c r="A87">
        <v>4.0999999999999996</v>
      </c>
      <c r="B87">
        <f t="shared" si="4"/>
        <v>-48.544931696097706</v>
      </c>
      <c r="C87">
        <f t="shared" si="5"/>
        <v>-90.454900199873009</v>
      </c>
      <c r="D87">
        <f t="shared" si="6"/>
        <v>0</v>
      </c>
      <c r="E87">
        <f>IF(MAX($F$6:F86)=1,0, IF(AND(B86&gt;=17,B86&lt;=20,C86&gt;=-7,C86&lt;=-2),1,0))</f>
        <v>0</v>
      </c>
      <c r="F87">
        <f t="shared" si="7"/>
        <v>1</v>
      </c>
    </row>
    <row r="88" spans="1:6" x14ac:dyDescent="0.25">
      <c r="A88">
        <v>4.1500000000000004</v>
      </c>
      <c r="B88">
        <f t="shared" si="4"/>
        <v>-49.136943058245244</v>
      </c>
      <c r="C88">
        <f t="shared" si="5"/>
        <v>-92.575796238895876</v>
      </c>
      <c r="D88">
        <f t="shared" si="6"/>
        <v>0</v>
      </c>
      <c r="E88">
        <f>IF(MAX($F$6:F87)=1,0, IF(AND(B87&gt;=17,B87&lt;=20,C87&gt;=-7,C87&lt;=-2),1,0))</f>
        <v>0</v>
      </c>
      <c r="F88">
        <f t="shared" si="7"/>
        <v>1</v>
      </c>
    </row>
    <row r="89" spans="1:6" x14ac:dyDescent="0.25">
      <c r="A89">
        <v>4.2</v>
      </c>
      <c r="B89">
        <f t="shared" si="4"/>
        <v>-49.728954420392782</v>
      </c>
      <c r="C89">
        <f t="shared" si="5"/>
        <v>-94.721217277918726</v>
      </c>
      <c r="D89">
        <f t="shared" si="6"/>
        <v>0</v>
      </c>
      <c r="E89">
        <f>IF(MAX($F$6:F88)=1,0, IF(AND(B88&gt;=17,B88&lt;=20,C88&gt;=-7,C88&lt;=-2),1,0))</f>
        <v>0</v>
      </c>
      <c r="F89">
        <f t="shared" si="7"/>
        <v>1</v>
      </c>
    </row>
    <row r="90" spans="1:6" x14ac:dyDescent="0.25">
      <c r="A90">
        <v>4.25</v>
      </c>
      <c r="B90">
        <f t="shared" si="4"/>
        <v>-50.320965782540313</v>
      </c>
      <c r="C90">
        <f t="shared" si="5"/>
        <v>-96.891163316941544</v>
      </c>
      <c r="D90">
        <f t="shared" si="6"/>
        <v>0</v>
      </c>
      <c r="E90">
        <f>IF(MAX($F$6:F89)=1,0, IF(AND(B89&gt;=17,B89&lt;=20,C89&gt;=-7,C89&lt;=-2),1,0))</f>
        <v>0</v>
      </c>
      <c r="F90">
        <f t="shared" si="7"/>
        <v>1</v>
      </c>
    </row>
    <row r="91" spans="1:6" x14ac:dyDescent="0.25">
      <c r="A91">
        <v>4.3</v>
      </c>
      <c r="B91">
        <f t="shared" si="4"/>
        <v>-50.912977144687837</v>
      </c>
      <c r="C91">
        <f t="shared" si="5"/>
        <v>-99.085634355964373</v>
      </c>
      <c r="D91">
        <f t="shared" si="6"/>
        <v>0</v>
      </c>
      <c r="E91">
        <f>IF(MAX($F$6:F90)=1,0, IF(AND(B90&gt;=17,B90&lt;=20,C90&gt;=-7,C90&lt;=-2),1,0))</f>
        <v>0</v>
      </c>
      <c r="F91">
        <f t="shared" si="7"/>
        <v>1</v>
      </c>
    </row>
    <row r="92" spans="1:6" x14ac:dyDescent="0.25">
      <c r="A92">
        <v>4.3499999999999996</v>
      </c>
      <c r="B92">
        <f t="shared" si="4"/>
        <v>-51.504988506835375</v>
      </c>
      <c r="C92">
        <f t="shared" si="5"/>
        <v>-101.30463039498721</v>
      </c>
      <c r="D92">
        <f t="shared" si="6"/>
        <v>0</v>
      </c>
      <c r="E92">
        <f>IF(MAX($F$6:F91)=1,0, IF(AND(B91&gt;=17,B91&lt;=20,C91&gt;=-7,C91&lt;=-2),1,0))</f>
        <v>0</v>
      </c>
      <c r="F92">
        <f t="shared" si="7"/>
        <v>1</v>
      </c>
    </row>
    <row r="93" spans="1:6" x14ac:dyDescent="0.25">
      <c r="A93">
        <v>4.4000000000000004</v>
      </c>
      <c r="B93">
        <f t="shared" si="4"/>
        <v>-52.096999868982913</v>
      </c>
      <c r="C93">
        <f t="shared" si="5"/>
        <v>-103.54815143401008</v>
      </c>
      <c r="D93">
        <f t="shared" si="6"/>
        <v>0</v>
      </c>
      <c r="E93">
        <f>IF(MAX($F$6:F92)=1,0, IF(AND(B92&gt;=17,B92&lt;=20,C92&gt;=-7,C92&lt;=-2),1,0))</f>
        <v>0</v>
      </c>
      <c r="F93">
        <f t="shared" si="7"/>
        <v>1</v>
      </c>
    </row>
    <row r="94" spans="1:6" x14ac:dyDescent="0.25">
      <c r="A94">
        <v>4.45</v>
      </c>
      <c r="B94">
        <f t="shared" si="4"/>
        <v>-52.689011231130443</v>
      </c>
      <c r="C94">
        <f t="shared" si="5"/>
        <v>-105.81619747303293</v>
      </c>
      <c r="D94">
        <f t="shared" si="6"/>
        <v>0</v>
      </c>
      <c r="E94">
        <f>IF(MAX($F$6:F93)=1,0, IF(AND(B93&gt;=17,B93&lt;=20,C93&gt;=-7,C93&lt;=-2),1,0))</f>
        <v>0</v>
      </c>
      <c r="F94">
        <f t="shared" si="7"/>
        <v>1</v>
      </c>
    </row>
    <row r="95" spans="1:6" x14ac:dyDescent="0.25">
      <c r="A95">
        <v>4.5</v>
      </c>
      <c r="B95">
        <f t="shared" si="4"/>
        <v>-53.281022593277974</v>
      </c>
      <c r="C95">
        <f t="shared" si="5"/>
        <v>-108.10876851205575</v>
      </c>
      <c r="D95">
        <f t="shared" si="6"/>
        <v>0</v>
      </c>
      <c r="E95">
        <f>IF(MAX($F$6:F94)=1,0, IF(AND(B94&gt;=17,B94&lt;=20,C94&gt;=-7,C94&lt;=-2),1,0))</f>
        <v>0</v>
      </c>
      <c r="F95">
        <f t="shared" si="7"/>
        <v>1</v>
      </c>
    </row>
    <row r="96" spans="1:6" x14ac:dyDescent="0.25">
      <c r="A96">
        <v>4.55</v>
      </c>
      <c r="B96">
        <f t="shared" si="4"/>
        <v>-53.873033955425505</v>
      </c>
      <c r="C96">
        <f t="shared" si="5"/>
        <v>-110.42586455107859</v>
      </c>
      <c r="D96">
        <f t="shared" si="6"/>
        <v>0</v>
      </c>
      <c r="E96">
        <f>IF(MAX($F$6:F95)=1,0, IF(AND(B95&gt;=17,B95&lt;=20,C95&gt;=-7,C95&lt;=-2),1,0))</f>
        <v>0</v>
      </c>
      <c r="F96">
        <f t="shared" si="7"/>
        <v>1</v>
      </c>
    </row>
    <row r="97" spans="1:6" x14ac:dyDescent="0.25">
      <c r="A97">
        <v>4.5999999999999996</v>
      </c>
      <c r="B97">
        <f t="shared" si="4"/>
        <v>-54.465045317573036</v>
      </c>
      <c r="C97">
        <f t="shared" si="5"/>
        <v>-112.76748559010142</v>
      </c>
      <c r="D97">
        <f t="shared" si="6"/>
        <v>0</v>
      </c>
      <c r="E97">
        <f>IF(MAX($F$6:F96)=1,0, IF(AND(B96&gt;=17,B96&lt;=20,C96&gt;=-7,C96&lt;=-2),1,0))</f>
        <v>0</v>
      </c>
      <c r="F97">
        <f t="shared" si="7"/>
        <v>1</v>
      </c>
    </row>
    <row r="98" spans="1:6" x14ac:dyDescent="0.25">
      <c r="A98">
        <v>4.6500000000000004</v>
      </c>
      <c r="B98">
        <f t="shared" si="4"/>
        <v>-55.057056679720574</v>
      </c>
      <c r="C98">
        <f t="shared" si="5"/>
        <v>-115.1336316291243</v>
      </c>
      <c r="D98">
        <f t="shared" si="6"/>
        <v>0</v>
      </c>
      <c r="E98">
        <f>IF(MAX($F$6:F97)=1,0, IF(AND(B97&gt;=17,B97&lt;=20,C97&gt;=-7,C97&lt;=-2),1,0))</f>
        <v>0</v>
      </c>
      <c r="F98">
        <f t="shared" si="7"/>
        <v>1</v>
      </c>
    </row>
    <row r="99" spans="1:6" x14ac:dyDescent="0.25">
      <c r="A99">
        <v>4.7</v>
      </c>
      <c r="B99">
        <f t="shared" si="4"/>
        <v>-55.649068041868112</v>
      </c>
      <c r="C99">
        <f t="shared" si="5"/>
        <v>-117.52430266814713</v>
      </c>
      <c r="D99">
        <f t="shared" si="6"/>
        <v>0</v>
      </c>
      <c r="E99">
        <f>IF(MAX($F$6:F98)=1,0, IF(AND(B98&gt;=17,B98&lt;=20,C98&gt;=-7,C98&lt;=-2),1,0))</f>
        <v>0</v>
      </c>
      <c r="F99">
        <f t="shared" si="7"/>
        <v>1</v>
      </c>
    </row>
    <row r="100" spans="1:6" x14ac:dyDescent="0.25">
      <c r="A100">
        <v>4.75</v>
      </c>
      <c r="B100">
        <f t="shared" si="4"/>
        <v>-56.241079404015636</v>
      </c>
      <c r="C100">
        <f t="shared" si="5"/>
        <v>-119.93949870716996</v>
      </c>
      <c r="D100">
        <f t="shared" si="6"/>
        <v>0</v>
      </c>
      <c r="E100">
        <f>IF(MAX($F$6:F99)=1,0, IF(AND(B99&gt;=17,B99&lt;=20,C99&gt;=-7,C99&lt;=-2),1,0))</f>
        <v>0</v>
      </c>
      <c r="F100">
        <f t="shared" si="7"/>
        <v>1</v>
      </c>
    </row>
  </sheetData>
  <pageMargins left="0.7" right="0.7" top="0.75" bottom="0.75" header="0.3" footer="0.3"/>
  <pageSetup orientation="portrait" horizontalDpi="300" verticalDpi="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0</xdr:colOff>
                    <xdr:row>29</xdr:row>
                    <xdr:rowOff>0</xdr:rowOff>
                  </from>
                  <to>
                    <xdr:col>11</xdr:col>
                    <xdr:colOff>247650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IntU</dc:creator>
  <cp:lastModifiedBy>Kristine</cp:lastModifiedBy>
  <dcterms:created xsi:type="dcterms:W3CDTF">2015-09-24T02:51:06Z</dcterms:created>
  <dcterms:modified xsi:type="dcterms:W3CDTF">2021-09-07T07:10:35Z</dcterms:modified>
</cp:coreProperties>
</file>